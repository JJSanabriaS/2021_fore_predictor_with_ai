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eelance\activos\forex\"/>
    </mc:Choice>
  </mc:AlternateContent>
  <xr:revisionPtr revIDLastSave="0" documentId="13_ncr:1_{54FAB140-6D0A-4142-93FF-2DF469B30E26}" xr6:coauthVersionLast="46" xr6:coauthVersionMax="46" xr10:uidLastSave="{00000000-0000-0000-0000-000000000000}"/>
  <bookViews>
    <workbookView xWindow="-120" yWindow="-120" windowWidth="20730" windowHeight="11160" activeTab="2" xr2:uid="{F7A87A80-2818-45E4-A60C-64969AAF1A81}"/>
  </bookViews>
  <sheets>
    <sheet name="picos" sheetId="1" r:id="rId1"/>
    <sheet name="detalhe news" sheetId="2" r:id="rId2"/>
    <sheet name="copytrader" sheetId="3" r:id="rId3"/>
  </sheets>
  <definedNames>
    <definedName name="_xlnm._FilterDatabase" localSheetId="0" hidden="1">picos!$C$12:$O$21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</calcChain>
</file>

<file path=xl/sharedStrings.xml><?xml version="1.0" encoding="utf-8"?>
<sst xmlns="http://schemas.openxmlformats.org/spreadsheetml/2006/main" count="322" uniqueCount="161">
  <si>
    <t>data</t>
  </si>
  <si>
    <t>hora</t>
  </si>
  <si>
    <t>impacto</t>
  </si>
  <si>
    <t>3_30</t>
  </si>
  <si>
    <t>neg</t>
  </si>
  <si>
    <t>22_50</t>
  </si>
  <si>
    <t>4_10</t>
  </si>
  <si>
    <t>pos</t>
  </si>
  <si>
    <t>9_35</t>
  </si>
  <si>
    <t>5_50</t>
  </si>
  <si>
    <t>9_00</t>
  </si>
  <si>
    <t>8_30</t>
  </si>
  <si>
    <t>10_00</t>
  </si>
  <si>
    <t>5_00</t>
  </si>
  <si>
    <t>2_30</t>
  </si>
  <si>
    <t>19_30</t>
  </si>
  <si>
    <t>13_00</t>
  </si>
  <si>
    <t>14_30</t>
  </si>
  <si>
    <t>4_00</t>
  </si>
  <si>
    <t>eur/usd</t>
  </si>
  <si>
    <t>USD/JPY</t>
  </si>
  <si>
    <t>GBP/USD</t>
  </si>
  <si>
    <t>semana</t>
  </si>
  <si>
    <t>mês</t>
  </si>
  <si>
    <t>18_00</t>
  </si>
  <si>
    <t>8_20</t>
  </si>
  <si>
    <t>3_15</t>
  </si>
  <si>
    <t>10_20</t>
  </si>
  <si>
    <t>9_30</t>
  </si>
  <si>
    <t>5_30</t>
  </si>
  <si>
    <t>feb/25</t>
  </si>
  <si>
    <t>16_00</t>
  </si>
  <si>
    <t>8_00</t>
  </si>
  <si>
    <t>21_50</t>
  </si>
  <si>
    <t>9_55</t>
  </si>
  <si>
    <t>3_50</t>
  </si>
  <si>
    <t>5_20</t>
  </si>
  <si>
    <t>21_30</t>
  </si>
  <si>
    <t>22_00</t>
  </si>
  <si>
    <t>19_00</t>
  </si>
  <si>
    <t>23_00</t>
  </si>
  <si>
    <t>20_30</t>
  </si>
  <si>
    <t>UK unemployment rate falls</t>
  </si>
  <si>
    <t>pos gbp</t>
  </si>
  <si>
    <t>pos usd**</t>
  </si>
  <si>
    <t>mar/24 14:30</t>
  </si>
  <si>
    <t>Existing US home sales fell in February, while prices rose</t>
  </si>
  <si>
    <t>mar/22 11:01</t>
  </si>
  <si>
    <t>cold wheater</t>
  </si>
  <si>
    <t>aditional</t>
  </si>
  <si>
    <t>cons</t>
  </si>
  <si>
    <t>Warmer temperatures, an acceleration in the pace of COVID-19 vaccinations and massive fiscal stimulus</t>
  </si>
  <si>
    <t>mar/3</t>
  </si>
  <si>
    <t>mar/9</t>
  </si>
  <si>
    <t>mar/10</t>
  </si>
  <si>
    <t>coronavirus aid package</t>
  </si>
  <si>
    <t>pos usd</t>
  </si>
  <si>
    <t>news</t>
  </si>
  <si>
    <t>cold weather</t>
  </si>
  <si>
    <t>mar/2</t>
  </si>
  <si>
    <t>https://economictimes.indiatimes.com/archivelist/year-2021,month-2,starttime-44252.cms</t>
  </si>
  <si>
    <t>https://www.wsj.com/news/archive/2021/february</t>
  </si>
  <si>
    <t>Fed Officials Upbeat on Outlook, Bond Yield Rise Not Source of Concern (feb/25 16:47)  central banks
 U.S. Farmers are Planting More Row Crops Than Ever (Feb/25 18:25 ) commodities</t>
  </si>
  <si>
    <t>US Oil prices rise (16:00)</t>
  </si>
  <si>
    <t>Biden, Senate Press Bill Without Pay Boost (21:00)</t>
  </si>
  <si>
    <t>Derby’s Take: After Bond-Market Tumult, Some See Need for Stronger Fed Response (5:30)</t>
  </si>
  <si>
    <t>neg usd</t>
  </si>
  <si>
    <t>Meet the Home-Rental Firm Turning Tenants Into Homeowners (5:30) 
Big Oil Faces Off Against Clean-Energy Giants (economies decarbonize and transport and industry electrify. 6:30)
China Banking Regulator Sees Risk From Real-Estate ‘Bubble’ (8:17 pos us) 
Biden’s Virus Response Marked by Larger Federal Role (10:56 relief package...)
Big Oil Conference Goes Green as Energy Transition Accelerates (12:00)</t>
  </si>
  <si>
    <t>150 noticias por dia</t>
  </si>
  <si>
    <t>How the Oil Market Bounced Back From a Year of Crisis (4:40)
Bank Appetite for Bonds Fueled by Capital Holiday (6:37)
mRNA Covid-19 Vaccines Are Fast to Make but Hard to Scale (8:00)
Companies Wrote Down Goodwill in Spades Last Year as Pandemic Took a Toll (9:00)
U.S. Businesses Optimistic About Economy Due to Vaccines and Hiring, Fed Beige Book Says (16:07)
Fed’s Evans Not Worried By Rise In Long-Term Bond Yields (16:40)
Texas Power Regulator Urged to Halt Collections as Crisis Fallout Spreads (19:01)</t>
  </si>
  <si>
    <t>Germany to Make Firms Responsible for Policing Abuses by Global Suppliers (10:51 neg eur)</t>
  </si>
  <si>
    <t>coronavirus relief package</t>
  </si>
  <si>
    <t>Texas Power Grid Operator Fires CEO (12:07 freezing wheater)
China Plays Up Ascendancy Over West as It Sets Economic Path (5:36)
Wind Power Was Thriving in Texas. Then Came the Freeze. (10:40)
U.S. Jobless Claims Hold Nearly Steady (13:21)
Transcript: Fed Chairman Jerome Powell at the WSJ Jobs Summit (13:23)
U.S. Treasury Yields Extend Climb After Powell’s Comments (15:40)
U.S. National Debt Is Likely to Nearly Double to 202% of GDP by 2051, CBO Projects (16:28)
Texas Overcharged $16 Billion for Power During Freeze, Monitor Says (18:10 power shortages and blackouts)
Powell Confirms Fed to Maintain Easy-Money Policies (18:10 +Federal Reserve Chairman..+keep easy-money policies in place)</t>
  </si>
  <si>
    <t>Dollar Strength Confounds Investors and Sparks Some Worries (10:30)</t>
  </si>
  <si>
    <t>China’s Pursuit of Natural Gas Jolts Markets and Drains Neighbors (5:30)
U.S. Trade Deficit Widened in January as Americans Bought More Imported Goods (11:20)
China’s Pursuit of Natural Gas Jolts Markets and Drains Neighbors (12:28)
inflation goals  Keywords on FED
February Hiring Sets Up Stronger Spring Recovery (14:16)
Better Job Market Not Nearly Good Enough for the Fed (14:56)
U.S. Treasury Yields Waver After Strong Jobs Report (16:14)</t>
  </si>
  <si>
    <t>Covid-19 Age-Based Vaccination Rules Come Under Fire (5:30)</t>
  </si>
  <si>
    <t>Finance Chiefs Look to Price Increases to Offset Higher Commodities Costs (5:01)
Japan Risks Resuming Global Economic Irrelevance (BOJ  4:16)
U.S. Real-Estate Investors Attracted to British Pubs (8:00)
U.S and China Engage, Tentatively, on Climate Change (12:42)
Supreme Court Dismisses Immigrant Public-Charge Cases (17:05)
Volatility Hits the Sizzling SPAC Market (17:12)</t>
  </si>
  <si>
    <t>Bank Regulation Tweak Unlikely to Be Cure-All for Treasurys (7:00)</t>
  </si>
  <si>
    <t>Treasury Yields Jump Again on Covid-19 Stimulus, Jobs (13:36)
Finance Chiefs Look to Price Increases to Offset Higher Commodities Costs (18:36)</t>
  </si>
  <si>
    <t>The Covid Unemployment Aid Bonanza Is Killing Us (17:22 opinion)</t>
  </si>
  <si>
    <t>Many Europeans Have Been Paid Not to Work for Years (8:00)</t>
  </si>
  <si>
    <t>China’s Rise Drives a U.S. Experiment in Industrial Policy (8:00)
States Expected Covid-19 to Bring Widespread Tax Shortfalls. It Didn’t Happen. (5:30)
U.S. Budget Deficit Widened to $1 Trillion From October Through February (17:30)
Crude-Oil Price Overhaul Hits Delay Amid Shipping-Cost Uproar (12:53)
Credit Suisse Sidelines Employees Who Oversaw Greensill Funds (22:24)
Third Covid-19 Stimulus Package Could Jolt U.S. Growth, Revive Inflation in 2021 (17:38)
House Passes $1.9 Trillion Covid-19 Stimulus Bill; Biden to Sign Friday (18:12)</t>
  </si>
  <si>
    <t>Fed Seen Standing Firm on Interest Rates, Bond Purchases (... The Fed, meanwhile, won’t raise rates until its goals of maximum employment and sustained 2% inflation have been reached ...  5:30)</t>
  </si>
  <si>
    <t>https://www.wsj.com/news/archive/2021/03/16?page=1</t>
  </si>
  <si>
    <r>
      <t xml:space="preserve">High-Income Tax Avoidance Far Larger Than Thought, New Paper Estimates (7:23)
Turkey’s Central Bank Chooses the Wrong Kind of Heterodoxy (10:20)
Powell Says Congressional Support Likely Needed to Adopt Fully Digital Dollar (10:47)
</t>
    </r>
    <r>
      <rPr>
        <sz val="11"/>
        <color rgb="FFFF0000"/>
        <rFont val="Calibri"/>
        <family val="2"/>
        <scheme val="minor"/>
      </rPr>
      <t>Federal Reserve Payments to the Treasury Department Rose in 2020 (12:00)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 xml:space="preserve">Quarles Presses Banks to Stop Use of Libor for New Contracts by Year End (23:36)
</t>
    </r>
    <r>
      <rPr>
        <sz val="11"/>
        <rFont val="Calibri"/>
        <family val="2"/>
        <scheme val="minor"/>
      </rPr>
      <t xml:space="preserve">Tight Supply Is Limiting Home Sales at Start of Spring (13:37)
Biden Administration Officials Put Together $3 Trillion Economic Plan (22:04)
Oil Company Leaders Support Carbon Pricing Plan (20:04)
Bond Rout Hits Safest Company Debt (16:55)
</t>
    </r>
    <r>
      <rPr>
        <sz val="11"/>
        <color rgb="FFFF0000"/>
        <rFont val="Calibri"/>
        <family val="2"/>
        <scheme val="minor"/>
      </rPr>
      <t xml:space="preserve">Fed’s Powell Says Recovery Is Far From Complete (16:31)
</t>
    </r>
    <r>
      <rPr>
        <sz val="11"/>
        <rFont val="Calibri"/>
        <family val="2"/>
        <scheme val="minor"/>
      </rPr>
      <t>FirstEnergy Appoints Chief Compliance Officer Amid Bribery Probe (15:23)</t>
    </r>
  </si>
  <si>
    <r>
      <rPr>
        <sz val="11"/>
        <color rgb="FFFF0000"/>
        <rFont val="Calibri"/>
        <family val="2"/>
        <scheme val="minor"/>
      </rPr>
      <t>Norway’s Central Bank Looks Beyond Covid-19 (6:09)</t>
    </r>
    <r>
      <rPr>
        <sz val="11"/>
        <color theme="1"/>
        <rFont val="Calibri"/>
        <family val="2"/>
        <scheme val="minor"/>
      </rPr>
      <t xml:space="preserve">
Covid-19 Relief Law Gives Companies More Time to Fund Pensions (5:30)
London Metal Exchange’s Overhaul Meets Resistance (5:20)
Former Glencore Oil Trader Charged With Manipulation of Fuel Prices (15:20)
</t>
    </r>
    <r>
      <rPr>
        <sz val="11"/>
        <color theme="7"/>
        <rFont val="Calibri"/>
        <family val="2"/>
        <scheme val="minor"/>
      </rPr>
      <t>Fed Surrenders Independence, Creates Risk (10:47 opinion)</t>
    </r>
    <r>
      <rPr>
        <sz val="11"/>
        <color theme="1"/>
        <rFont val="Calibri"/>
        <family val="2"/>
        <scheme val="minor"/>
      </rPr>
      <t xml:space="preserve">
Should Central Banks Tame House Prices? New Zealand Is Giving It a Try (7:00)
</t>
    </r>
    <r>
      <rPr>
        <sz val="11"/>
        <color rgb="FFFF0000"/>
        <rFont val="Calibri"/>
        <family val="2"/>
        <scheme val="minor"/>
      </rPr>
      <t>Powell Says Stimulus Package Isn’t Likely to Fuel Unwelcome Inflation (18:20)
Stocks Drop Amid Powell’s Testimony (17:13)</t>
    </r>
  </si>
  <si>
    <t>U.S. Durable-Goods Orders Drop for First Time Since Last Spring (9:57)
Carbon Tax Sidelined in Biden’s Push on Climate, Taxes (9:03)
Hong Kong Bank Reaches Insurance Deal After Pressure From Elliott Management (8:19)
Covid-19 Relief Could Stimulate Fintech Stocks (6:33)
HSBC Searches for China’s Wealthy With an Army of Roaming Bankers (5:30)
Federal Reserve’s Bostic Expects Central Bank Will Lift Rates in 2023 (5:30)
Suez Canal, Symbol of Egyptian Pride and Source of Conflict, Regains Spotlight (15:00)
Powell Says Rise in Long-Term Bond Yields Reflects Economic Optimism (14:26)
Senate Lawmakers Spar Over Voting Rights Bill (11:48)
Transcript: WSJ Interview With Atlanta Fed President Raphael Bostic (13:39)
February’s Economic Setback Won’t Prove Durable (12:15)
Canadian Housing Boom Raises Concern, With Homes Selling Far Above Ask Prices (10:33)
Kamala Harris to Head Administration Effort to Stanch Migrant Surge (20:51)
Former Glencore Oil Trader Pleads Guilty to Manipulating Prices (19:21)
EU, U.K. Seek to End Covid-19 Vaccine Fight as Bloc Broadens Export Controls (15:37)
Debt Investors Await More Details on Biden’s Infrastructure Plan (15:56)
Stocks End Lower Amid Decline in Tech Shares (17:25)</t>
  </si>
  <si>
    <t>Green Energy Spinoffs Can Help Investors Clean Up (7:26)
When Is Biden’s Press Conference and How to Watch (6:00)
With Negative Rates, Homeowners in Europe Are Paid to Borrow (5:30)
President Biden’s First Press Conference: The Moments That Mattered (15:17)
Treasury Markets Calm, but Investors Anticipate a Rate Rise Soon (15:01)
Senate Passes PPP Bill, Extending Loan Applications Through May (14:54)
Angela Merkel Has Lost Her Pandemic Touch (12:49)
Oil Lobby Backs Climate Action Plan (12:00)
Powell Says Now Is Not the Time to Focus on Reducing Federal Debt (11:38)
U.S.-Listed Chinese Stocks Fall Into Bear Market (22:13)
Biden Says U.S. Wants Competition, Not Confrontation, With China (20:59)
Europe’s Leaders Won’t Oppose Export Limits on Covid-19 Vaccine as Inoculations Creep Along (20:32)
Suez Canal Backlog Grows as Efforts Resume to Free Trapped Ship (19:24)
Pfizer Covid-19 Vaccine Starts Testing in Young Children (18:59)
Congress Summons Its Speech Regulators( 18:38 OPINION)
Texas Death Toll From February Storm, Outages Rises to at Least 111 (18:19)
Berkshire Hathaway Offers to Spend $8.3 Billion on Emergency Power Plants in Texas (18:09)
Fed Says Restrictions on Payouts to End for Most Banks After June 30 (17:42)
Stocks Close Higher Amid Signs of Economic Recovery (17:33)
Energy Industry Grapples With Fallout From Suez Canal Blockage (16:38)
U.K. Financial Regulator Pushes for More Whistleblowing (17:30)</t>
  </si>
  <si>
    <t>Partisan Investment Funds Grow Out of Political Divides (5:30)
Hong Kong ‘Homecoming Listings’ Are All the Rage, but New York Is Still the Life of the Party (5:41)
Tornado Outbreak Rips Across Deep South (9:57)
Herd Immunity Won’t Save Us—but We Can Still Beat Covid-19 (10:56)
Volkswagen to Seek Damages From Former CEO Winterkorn in Diesel Scandal (11:50)
Covid-19 Clobbered Manhattan. Lower Rents Could Seed Recovery (13:12)
Suez Canal Blockage Sends Asian, European Exporters Scrambling 
Ship Stuck in Suez Canal and Chip Shortages: What Global Supply-Chain Problems Mean for You (13:20)
An Unexpected $10,200 Unemployment Tax Break: What to Know (13:41)
Payday Might Be Coming for U.S. Bank Investors (14:00)
Violent Tornado in Georgia Destroys One Side of a Street, Spares the Other (20:44)
Suez Canal Efforts to Free Stuck Ship Make Fresh Progress Late Friday (19:22)
Europe’s Covid Bill Is Coming Due (17:55 opinion)
U.S. Condemns Chinese Boycotts of Companies Shunning Xinjiang Cotton (17:41)
S&amp;P 500 Rallies 1.7%, Closes Week at Record (17:24)
Biden Administration Plans Localized Approach to Promote Covid-19 Vaccine (17:03)
China Lacks the Credibility to Bully the U.S. (14:12)</t>
  </si>
  <si>
    <t>https://www.popsci.com/story/environment/why-us-lose-power-storms/</t>
  </si>
  <si>
    <t>informacao transversal (energy outrages)</t>
  </si>
  <si>
    <t>https://en.wikipedia.org/wiki/North_American_power_transmission_grid  (informacao basica)</t>
  </si>
  <si>
    <t>nro revisado</t>
  </si>
  <si>
    <t>monopoly</t>
  </si>
  <si>
    <t>tax law</t>
  </si>
  <si>
    <t>unemployed</t>
  </si>
  <si>
    <t xml:space="preserve">The Treasury Market Could Soon Get More Love (7:36)
Brink’s Got Outsiders to Count Newly-Acquired Gold, Silver Bars (5:30)
Cash-Out Refinancings Hit Highest Level Since Financial Crisis (5:30)
Federal Renter-Assistance Effort Thrown Into Doubt by Conflicting Court Rulings (14:58 behind rent)
U.S. Households’ Net Worth Rose to Record $130.2 Trillion in Fourth Quarter (12:52)
Covid-19 Stimulus Package Is a Boon for Business (12:46)
U.S. Jobless Claims Ease as Hiring Picks Up (13:14)
Biden to Tap Former Fed Economist for Treasury Domestic-Finance Post (11:53)
The $16 Billion in Texas Power Overcharges? Monitor Says Only $3.2 Billion Can Be Undone (blackouts  18:20)
Child Tax Credit: How the Covid-19 Stimulus Package Gives Additional Money to Families (17:17)
</t>
  </si>
  <si>
    <t>GPB Capital Fraud Case Is Put on Hold (16:05)</t>
  </si>
  <si>
    <t>Covid-19 Aid Bill Stimulates Political Ads (5:30)
New Covid-19 Jobless Benefits to Keep Stimulus Flowing Through Summer (5:30)
China Regulator Fines Tencent, Baidu, Others Over Investment Deals (17:50)
Antitrust Law: What Is It and Why Does Congress Want to Change It? (8:00)
Europe Confronts a Covid-19 Rebound as Vaccine Hopes Recede (11:08)
Covid-19 Slammed Canada’s Nursing Homes. Now Deaths Are Way Down. (12:44)
U.S. Treasury Yields Climb Sharply (15:57)
Dow Ends Best Week Since November (17:08 ... domestic economy is revving up ...)
OECD Selects Australia’s Cormann as Next Secretary-General (18:53)
First Batch of $1,400 Stimulus Checks Hit Bank Accounts Starting Today (20:23)</t>
  </si>
  <si>
    <t>Covid-19 Crisis Has Left Americans’ Wallets Fatter (7:00 ... that household net worth—the value of Americans’ total assets minus their liabilities—swelled to ...)</t>
  </si>
  <si>
    <t>Fearing a Property Bubble, China Overhauls How It Sells Land (10:00)
Visa, Mastercard Delay Credit-Card Swipe Fee Increases (10:26)
Credit Suisse Faces Possible Loss Over Greensill Collapse (13:56)
Greensill-Owned Bank Declared Insolvent, Causing Losses for Small German Towns (14:30)
Britain to Boost Nuclear Weapons Stockpile in Defense-Policy Shift (14:31)
Germany Readies Quota for Women Board Members (15:02)
Dow, S&amp;P 500 Pull Back From Record Levels (16:48)</t>
  </si>
  <si>
    <t>Swine Fever Resurgence Damps Hopes for U.S. Soybean Farmers (12:05)</t>
  </si>
  <si>
    <t>production</t>
  </si>
  <si>
    <t>fever
exportations</t>
  </si>
  <si>
    <t>mar/26 5-50</t>
  </si>
  <si>
    <t>11_35</t>
  </si>
  <si>
    <t>13_15</t>
  </si>
  <si>
    <t>21_05</t>
  </si>
  <si>
    <t>maar/28</t>
  </si>
  <si>
    <t>20_20</t>
  </si>
  <si>
    <t>0_00</t>
  </si>
  <si>
    <t>3_45</t>
  </si>
  <si>
    <t>10_35</t>
  </si>
  <si>
    <t>2_15</t>
  </si>
  <si>
    <t>3_20</t>
  </si>
  <si>
    <t>9_20</t>
  </si>
  <si>
    <t>1_50</t>
  </si>
  <si>
    <t>5_35</t>
  </si>
  <si>
    <t>11_45</t>
  </si>
  <si>
    <t>13_25</t>
  </si>
  <si>
    <t>16_05</t>
  </si>
  <si>
    <t xml:space="preserve">Biden Plans to Split Spending Plan in Two (18_27)
Economy Week Ahead: Factories, Jobless Claims, Employment (15:00)
New Trade Representative Says U.S. Isn’t Ready to Lift China Tariffs (14:22)
New Age of Chinese Nationalism Threatens Supply Chains (9:30)
Tax-Filing Delay Is Welcome, But Excludes Too Many Filers (13:31)
Archegos Liquidation Hit Nomura, Credit Suisse (14:22)
Florida Investor Commits $100 Million Toward Potential Bid for Tribune Publishing (12:35)
Investors Shouldn’t Rush to Book a Sunny European Vacation (9:07)
As Vaccines Flood the U.S., Covid-19 Soars Where Shots Are Scarce (8:00)
Unraveling Archegos Fund Shows Risks of Investment Banking (7:43)
China, Long a Source of Deflation, Starts Raising Prices for the World (7:00)
</t>
  </si>
  <si>
    <t>Optimistic Forecasts on Economy Might Still Be Too Dismal (6:33)</t>
  </si>
  <si>
    <t>Congress Extends Covid-19 Bankruptcy Relief for Consumers, Small Businesses (17:43)</t>
  </si>
  <si>
    <t>Suez Canal Blockage Pressures Global Container Supply (21:15)
Vermont Breaks the Bailout Code (19:13 opinion)
New York Lawmakers Weigh Raising Taxes as Budget Deadline Looms (18:51)
Senate Democrats Push for Capital-Gains Tax at Death With $1 Million Exemption (18:51)
Stocks Favored in ‘Reopening Trade’ Hit Turbulence (17:50)
U.S. Suspends Trade Pact With Myanmar After Deadly Weekend Violence (17:32)
Biden Says U.S. Adds New Covid-19 Vaccine Sites, Warns Against Complacency (15:21)
Stocks Waver as Banks Warn of Losses (17:01)
Supreme Court Weighs Merit of Goldman Sachs Ethics Statements (17:21)
When Are Taxes Due? Everything You Need to Know About the New IRS Filing Deadline (17:21)
As Covid-19 Vaccinations Ramp Up, Hesitancy Wanes (5:30)</t>
  </si>
  <si>
    <t xml:space="preserve">SoftBank Seeks More Miami Space as City’s Tech Industry Expands (8:20)
Social Security Recipients’ Stimulus Payments Coming by Next Week, Treasury Says (13:43)
As Covid-19 Vaccinations Ramp Up, Hesitancy Wanes (7:30 wanes=dissapears)
U.S. Companies Resist Activist Investor’s Climate Campaign (7:00)
Japanese Builder of Suez Canal Ship Has Bigger Problem: Industry Decline (10:12)
U.S. Consumer Confidence Hits Highest Point Since Pandemic Started (11:28)
Behind Biden’s Big Plans: Belief That Government Can Drive Growth (11:37)
U.S. Pledges Nearly $600 Million in Aid to Syria (12:51)
Archegos Gives Investors Warning Signs (13:03)
Social Security Recipients’ Stimulus Payments Coming by Next Week, Treasury Says (13:43)
U.S. Home Prices Rise at Fastest Pace in 15 Years (13:44)
Coinbase Hires Ex-SEC Director to Run Capital Markets Division (15:02)
New York Fed’s John Williams Upbeat About Economic Outlook (15:43)
New York Gets Federal Approval to Proceed on Congestion-Pricing Plan (16:58)
Treasury Yields Whipsaw Ahead of Biden Spending Announcement (17:03)
Germany Restricts Use of AstraZeneca Vaccine for Under-60s (17:07)
Covid-19 Vaccination Cards Are the Only Proof of Shots, Soon an Essential (17:09)
White House Briefs Lawmakers on $2 Trillion Infrastructure Plan (18:13)
Brushback for Capitol Riot Prosecutors (18:18)
Deutsche Bank Reorganizes Risk Management and Compliance Functions (19:42)
</t>
  </si>
  <si>
    <t>From BTS to Britain, Anti-Asian Racism Gets New Attention Outside the U.S. (22:50)
Biden’s $2.3 Trillion Infrastructure Plan Takes Broad Aim (18:34)
China Says Covid-19 Origin Probe Should Shift Focus to Other Countries (22.12)
Biden’s Infrastructure Plan: How the $2.3 Trillion Would Be Allocated (19:53)
Endeavor to Jump Into Public Offering Again (19:57)
Biden’s Infrastructure Plan: Where the Money Is Going (20:35)
S&amp;P 500 Rises but Just Misses New Record (16:42)
Meme Stocks, NFTs, Tech Rotation Dominate Crazy Quarter on Wall Street (16:40)
What’s in Biden’s $2 Trillion Corporate Tax Plan (11:53)
Risk Panel to Address Vulnerabilities From 2020 Market Meltdown (17:37)
U.S. Should Follow EU’s Lead on ESG Policy (17:06)
U.S. Should Follow EU’s Lead on ESG Policy (17:06)
Kremlin Critic Alexei Navalny Begins Hunger Strike in New Standoff with Authorities (15:02)
Biden Administration to Allow Work-Visa Ban to Expire (15:54)
Covid-19 Vaccinations Are Picking Up Pace, but New Cases Are Still Rising (7:28)
Australia to Build Its Own Guided Missiles (7:01)
Archegos’s Collapse Is a Wakeup Call for Regulators (6:48)
Japanese Investors Accelerated the Treasury Selloff (5:43)
China’s Consumers Boost Its Economic Recovery (1:53)</t>
  </si>
  <si>
    <t>7_35</t>
  </si>
  <si>
    <t>10_25</t>
  </si>
  <si>
    <t>21_25</t>
  </si>
  <si>
    <t>22_55</t>
  </si>
  <si>
    <t>1_25</t>
  </si>
  <si>
    <t>Evergrande’s Debt by Any Other Name (23:52)</t>
  </si>
  <si>
    <t>factores</t>
  </si>
  <si>
    <t>Usd</t>
  </si>
  <si>
    <t>JPY</t>
  </si>
  <si>
    <t>GBP</t>
  </si>
  <si>
    <t>energia</t>
  </si>
  <si>
    <t>.45</t>
  </si>
  <si>
    <t>.25</t>
  </si>
  <si>
    <t>suez</t>
  </si>
  <si>
    <t>.15</t>
  </si>
  <si>
    <t>markets (stock)</t>
  </si>
  <si>
    <t>vaccine coronavirus</t>
  </si>
  <si>
    <t>.65</t>
  </si>
  <si>
    <t>anti monipoly</t>
  </si>
  <si>
    <t>racism</t>
  </si>
  <si>
    <t>.12</t>
  </si>
  <si>
    <t>rusia</t>
  </si>
  <si>
    <t>.6</t>
  </si>
  <si>
    <t>germany</t>
  </si>
  <si>
    <t>.2</t>
  </si>
  <si>
    <t>international trading</t>
  </si>
  <si>
    <t>bancos centrais</t>
  </si>
  <si>
    <t>ponderacao (max=1, min=0)</t>
  </si>
  <si>
    <t>house market</t>
  </si>
  <si>
    <t>consumer market</t>
  </si>
  <si>
    <t>https://www.youtube.com/watch?v=o-zM8onpQZY</t>
  </si>
  <si>
    <t>https://developers.refinitiv.com/en/article-catalog/article/introduction-news-sentiment-analysis-eikon-data-apis-python-example</t>
  </si>
  <si>
    <t>https://www.youtube.com/watch?v=ezCB_giQV5I</t>
  </si>
  <si>
    <t>forex colombiano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</si>
</sst>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7"/>
      <color rgb="FF000000"/>
      <name val="Arial"/>
      <family val="2"/>
    </font>
    <font>
      <sz val="7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5" tint="-0.24994659260841701"/>
      </left>
      <right/>
      <top style="thick">
        <color theme="5" tint="-0.24994659260841701"/>
      </top>
      <bottom/>
      <diagonal/>
    </border>
    <border>
      <left/>
      <right/>
      <top style="thick">
        <color theme="5" tint="-0.24994659260841701"/>
      </top>
      <bottom/>
      <diagonal/>
    </border>
    <border>
      <left/>
      <right style="thick">
        <color theme="5" tint="-0.24994659260841701"/>
      </right>
      <top style="thick">
        <color theme="5" tint="-0.24994659260841701"/>
      </top>
      <bottom/>
      <diagonal/>
    </border>
    <border>
      <left style="thick">
        <color theme="5" tint="-0.24994659260841701"/>
      </left>
      <right/>
      <top/>
      <bottom/>
      <diagonal/>
    </border>
    <border>
      <left/>
      <right style="thick">
        <color theme="5" tint="-0.24994659260841701"/>
      </right>
      <top/>
      <bottom/>
      <diagonal/>
    </border>
    <border>
      <left style="thick">
        <color theme="5" tint="-0.24994659260841701"/>
      </left>
      <right/>
      <top/>
      <bottom style="thick">
        <color theme="5" tint="-0.24994659260841701"/>
      </bottom>
      <diagonal/>
    </border>
    <border>
      <left/>
      <right/>
      <top/>
      <bottom style="thick">
        <color theme="5" tint="-0.24994659260841701"/>
      </bottom>
      <diagonal/>
    </border>
    <border>
      <left/>
      <right style="thick">
        <color theme="5" tint="-0.24994659260841701"/>
      </right>
      <top/>
      <bottom style="thick">
        <color theme="5" tint="-0.2499465926084170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17" fontId="0" fillId="0" borderId="0" xfId="0" applyNumberFormat="1" applyBorder="1"/>
    <xf numFmtId="20" fontId="0" fillId="0" borderId="0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 applyBorder="1"/>
    <xf numFmtId="0" fontId="1" fillId="0" borderId="4" xfId="0" applyFont="1" applyBorder="1"/>
    <xf numFmtId="17" fontId="1" fillId="0" borderId="0" xfId="0" applyNumberFormat="1" applyFont="1" applyBorder="1"/>
    <xf numFmtId="20" fontId="1" fillId="0" borderId="0" xfId="0" applyNumberFormat="1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0" xfId="0" applyBorder="1" applyAlignment="1">
      <alignment horizontal="right"/>
    </xf>
    <xf numFmtId="0" fontId="1" fillId="0" borderId="9" xfId="0" applyFont="1" applyBorder="1"/>
    <xf numFmtId="0" fontId="1" fillId="0" borderId="8" xfId="0" applyFont="1" applyBorder="1"/>
    <xf numFmtId="0" fontId="0" fillId="0" borderId="9" xfId="0" applyBorder="1"/>
    <xf numFmtId="0" fontId="0" fillId="0" borderId="8" xfId="0" applyBorder="1"/>
    <xf numFmtId="0" fontId="1" fillId="0" borderId="13" xfId="0" applyFont="1" applyBorder="1"/>
    <xf numFmtId="0" fontId="0" fillId="0" borderId="13" xfId="0" applyBorder="1"/>
    <xf numFmtId="0" fontId="1" fillId="0" borderId="0" xfId="0" applyFont="1" applyFill="1" applyBorder="1"/>
    <xf numFmtId="0" fontId="0" fillId="0" borderId="0" xfId="0" applyFill="1" applyBorder="1" applyAlignment="1">
      <alignment horizontal="right"/>
    </xf>
    <xf numFmtId="17" fontId="0" fillId="0" borderId="0" xfId="0" applyNumberFormat="1" applyBorder="1" applyAlignment="1">
      <alignment horizontal="right"/>
    </xf>
    <xf numFmtId="49" fontId="0" fillId="0" borderId="0" xfId="0" applyNumberFormat="1"/>
    <xf numFmtId="0" fontId="0" fillId="0" borderId="14" xfId="0" applyBorder="1"/>
    <xf numFmtId="49" fontId="0" fillId="0" borderId="15" xfId="0" applyNumberFormat="1" applyBorder="1" applyAlignment="1">
      <alignment wrapText="1"/>
    </xf>
    <xf numFmtId="0" fontId="0" fillId="0" borderId="15" xfId="0" applyBorder="1" applyAlignment="1">
      <alignment wrapText="1"/>
    </xf>
    <xf numFmtId="0" fontId="0" fillId="0" borderId="15" xfId="0" applyBorder="1"/>
    <xf numFmtId="0" fontId="0" fillId="0" borderId="16" xfId="0" applyBorder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49" fontId="0" fillId="0" borderId="14" xfId="0" applyNumberFormat="1" applyBorder="1" applyAlignment="1">
      <alignment wrapText="1"/>
    </xf>
    <xf numFmtId="49" fontId="0" fillId="0" borderId="4" xfId="0" applyNumberFormat="1" applyBorder="1" applyAlignment="1">
      <alignment horizontal="right"/>
    </xf>
    <xf numFmtId="17" fontId="0" fillId="0" borderId="4" xfId="0" applyNumberFormat="1" applyBorder="1" applyAlignment="1">
      <alignment horizontal="right"/>
    </xf>
    <xf numFmtId="0" fontId="4" fillId="0" borderId="0" xfId="0" applyFont="1" applyAlignment="1">
      <alignment wrapText="1"/>
    </xf>
    <xf numFmtId="0" fontId="5" fillId="0" borderId="0" xfId="1" applyAlignment="1">
      <alignment wrapText="1"/>
    </xf>
    <xf numFmtId="0" fontId="0" fillId="0" borderId="0" xfId="0" applyAlignment="1">
      <alignment wrapText="1"/>
    </xf>
    <xf numFmtId="17" fontId="0" fillId="0" borderId="0" xfId="0" applyNumberFormat="1"/>
    <xf numFmtId="17" fontId="6" fillId="0" borderId="4" xfId="0" applyNumberFormat="1" applyFont="1" applyBorder="1" applyAlignment="1">
      <alignment horizontal="right"/>
    </xf>
    <xf numFmtId="0" fontId="5" fillId="0" borderId="0" xfId="1"/>
    <xf numFmtId="0" fontId="6" fillId="0" borderId="0" xfId="0" applyFont="1"/>
    <xf numFmtId="0" fontId="3" fillId="0" borderId="0" xfId="0" applyFont="1" applyFill="1" applyBorder="1" applyAlignment="1">
      <alignment wrapText="1"/>
    </xf>
    <xf numFmtId="20" fontId="0" fillId="0" borderId="0" xfId="0" applyNumberFormat="1" applyFill="1" applyBorder="1"/>
    <xf numFmtId="0" fontId="0" fillId="0" borderId="0" xfId="0" applyFill="1" applyBorder="1"/>
    <xf numFmtId="20" fontId="0" fillId="0" borderId="0" xfId="0" applyNumberFormat="1"/>
    <xf numFmtId="17" fontId="0" fillId="0" borderId="6" xfId="0" applyNumberFormat="1" applyBorder="1"/>
    <xf numFmtId="20" fontId="0" fillId="0" borderId="6" xfId="0" applyNumberFormat="1" applyBorder="1"/>
    <xf numFmtId="0" fontId="0" fillId="0" borderId="18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wsj.com/news/archive/2021/february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North_American_power_transmission_grid%20%20(informacao%20basica)" TargetMode="External"/><Relationship Id="rId2" Type="http://schemas.openxmlformats.org/officeDocument/2006/relationships/hyperlink" Target="https://www.wsj.com/news/archive/2021/03/16?page=1" TargetMode="External"/><Relationship Id="rId1" Type="http://schemas.openxmlformats.org/officeDocument/2006/relationships/hyperlink" Target="https://www.wsj.com/articles/senate-moves-ahead-with-covid-19-aid-package-without-minimum-wage-boost-11614615765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2E51-AD67-44E5-963E-5EC3EE264CF9}">
  <dimension ref="B1:T59"/>
  <sheetViews>
    <sheetView zoomScale="90" zoomScaleNormal="90" workbookViewId="0">
      <selection activeCell="T1" sqref="T1"/>
    </sheetView>
  </sheetViews>
  <sheetFormatPr defaultRowHeight="15" x14ac:dyDescent="0.25"/>
  <cols>
    <col min="2" max="2" width="1.7109375" customWidth="1"/>
    <col min="3" max="3" width="8" bestFit="1" customWidth="1"/>
    <col min="4" max="4" width="6" bestFit="1" customWidth="1"/>
    <col min="5" max="5" width="8.140625" bestFit="1" customWidth="1"/>
    <col min="6" max="7" width="3.28515625" customWidth="1"/>
    <col min="8" max="8" width="8.28515625" bestFit="1" customWidth="1"/>
    <col min="9" max="9" width="6" bestFit="1" customWidth="1"/>
    <col min="10" max="10" width="8.140625" bestFit="1" customWidth="1"/>
    <col min="11" max="12" width="2.85546875" customWidth="1"/>
    <col min="13" max="13" width="9" bestFit="1" customWidth="1"/>
    <col min="14" max="14" width="6" bestFit="1" customWidth="1"/>
    <col min="15" max="15" width="8.140625" bestFit="1" customWidth="1"/>
    <col min="16" max="16" width="2.140625" customWidth="1"/>
    <col min="17" max="17" width="2.7109375" customWidth="1"/>
    <col min="18" max="18" width="2" customWidth="1"/>
    <col min="19" max="19" width="12.28515625" bestFit="1" customWidth="1"/>
    <col min="20" max="20" width="27.42578125" customWidth="1"/>
    <col min="21" max="21" width="13.140625" bestFit="1" customWidth="1"/>
    <col min="22" max="22" width="10.7109375" customWidth="1"/>
    <col min="23" max="23" width="9.7109375" bestFit="1" customWidth="1"/>
    <col min="24" max="24" width="79.7109375" customWidth="1"/>
  </cols>
  <sheetData>
    <row r="1" spans="2:19" x14ac:dyDescent="0.25">
      <c r="C1" t="s">
        <v>19</v>
      </c>
      <c r="H1" t="s">
        <v>20</v>
      </c>
      <c r="M1" t="s">
        <v>21</v>
      </c>
    </row>
    <row r="2" spans="2:19" x14ac:dyDescent="0.25">
      <c r="S2" s="31"/>
    </row>
    <row r="3" spans="2:19" x14ac:dyDescent="0.25">
      <c r="B3" s="11"/>
      <c r="C3" s="68" t="s">
        <v>22</v>
      </c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70"/>
      <c r="P3" s="12"/>
    </row>
    <row r="4" spans="2:19" x14ac:dyDescent="0.25">
      <c r="B4" s="13"/>
      <c r="C4" s="14" t="s">
        <v>0</v>
      </c>
      <c r="D4" s="14" t="s">
        <v>1</v>
      </c>
      <c r="E4" s="14" t="s">
        <v>2</v>
      </c>
      <c r="F4" s="14"/>
      <c r="G4" s="22"/>
      <c r="H4" s="14" t="s">
        <v>0</v>
      </c>
      <c r="I4" s="14" t="s">
        <v>1</v>
      </c>
      <c r="J4" s="14" t="s">
        <v>2</v>
      </c>
      <c r="K4" s="14"/>
      <c r="L4" s="26"/>
      <c r="M4" s="14" t="s">
        <v>0</v>
      </c>
      <c r="N4" s="14" t="s">
        <v>1</v>
      </c>
      <c r="O4" s="14" t="s">
        <v>2</v>
      </c>
      <c r="P4" s="15"/>
    </row>
    <row r="5" spans="2:19" x14ac:dyDescent="0.25">
      <c r="B5" s="13"/>
      <c r="C5" s="16">
        <v>44986</v>
      </c>
      <c r="D5" s="14" t="s">
        <v>3</v>
      </c>
      <c r="E5" s="14" t="s">
        <v>4</v>
      </c>
      <c r="F5" s="14"/>
      <c r="G5" s="22"/>
      <c r="H5" s="16">
        <v>44256</v>
      </c>
      <c r="I5" s="14" t="s">
        <v>24</v>
      </c>
      <c r="J5" s="14" t="s">
        <v>7</v>
      </c>
      <c r="K5" s="14"/>
      <c r="L5" s="22"/>
      <c r="M5" s="16">
        <v>44256</v>
      </c>
      <c r="N5" s="17" t="s">
        <v>33</v>
      </c>
      <c r="O5" s="14" t="s">
        <v>7</v>
      </c>
      <c r="P5" s="15"/>
    </row>
    <row r="6" spans="2:19" x14ac:dyDescent="0.25">
      <c r="B6" s="13"/>
      <c r="C6" s="16">
        <v>45352</v>
      </c>
      <c r="D6" s="17" t="s">
        <v>6</v>
      </c>
      <c r="E6" s="14" t="s">
        <v>4</v>
      </c>
      <c r="F6" s="14"/>
      <c r="G6" s="22"/>
      <c r="H6" s="16">
        <v>44986</v>
      </c>
      <c r="I6" s="14" t="s">
        <v>13</v>
      </c>
      <c r="J6" s="14" t="s">
        <v>4</v>
      </c>
      <c r="K6" s="14"/>
      <c r="L6" s="22"/>
      <c r="M6" s="16">
        <v>44621</v>
      </c>
      <c r="N6" s="14" t="s">
        <v>25</v>
      </c>
      <c r="O6" s="14" t="s">
        <v>4</v>
      </c>
      <c r="P6" s="15"/>
    </row>
    <row r="7" spans="2:19" x14ac:dyDescent="0.25">
      <c r="B7" s="13"/>
      <c r="C7" s="16">
        <v>45352</v>
      </c>
      <c r="D7" s="14" t="s">
        <v>5</v>
      </c>
      <c r="E7" s="14" t="s">
        <v>7</v>
      </c>
      <c r="F7" s="14"/>
      <c r="G7" s="22"/>
      <c r="H7" s="16">
        <v>45352</v>
      </c>
      <c r="I7" s="14" t="s">
        <v>25</v>
      </c>
      <c r="J7" s="14" t="s">
        <v>7</v>
      </c>
      <c r="K7" s="14"/>
      <c r="L7" s="22"/>
      <c r="M7" s="16">
        <v>44621</v>
      </c>
      <c r="N7" s="14" t="s">
        <v>34</v>
      </c>
      <c r="O7" s="14" t="s">
        <v>7</v>
      </c>
      <c r="P7" s="15"/>
    </row>
    <row r="8" spans="2:19" x14ac:dyDescent="0.25">
      <c r="B8" s="13"/>
      <c r="C8" s="16">
        <v>45717</v>
      </c>
      <c r="D8" s="14" t="s">
        <v>8</v>
      </c>
      <c r="E8" s="14" t="s">
        <v>4</v>
      </c>
      <c r="F8" s="14"/>
      <c r="G8" s="22"/>
      <c r="H8" s="16">
        <v>46082</v>
      </c>
      <c r="I8" s="14" t="s">
        <v>26</v>
      </c>
      <c r="J8" s="14" t="s">
        <v>7</v>
      </c>
      <c r="K8" s="14"/>
      <c r="L8" s="22"/>
      <c r="M8" s="16">
        <v>44986</v>
      </c>
      <c r="N8" s="14" t="s">
        <v>35</v>
      </c>
      <c r="O8" s="14" t="s">
        <v>4</v>
      </c>
      <c r="P8" s="15"/>
    </row>
    <row r="9" spans="2:19" x14ac:dyDescent="0.25">
      <c r="B9" s="13"/>
      <c r="C9" s="16">
        <v>46082</v>
      </c>
      <c r="D9" s="14" t="s">
        <v>9</v>
      </c>
      <c r="E9" s="14" t="s">
        <v>4</v>
      </c>
      <c r="F9" s="14"/>
      <c r="G9" s="22"/>
      <c r="H9" s="16">
        <v>46082</v>
      </c>
      <c r="I9" s="14" t="s">
        <v>27</v>
      </c>
      <c r="J9" s="14" t="s">
        <v>4</v>
      </c>
      <c r="K9" s="14"/>
      <c r="L9" s="22"/>
      <c r="M9" s="16">
        <v>45717</v>
      </c>
      <c r="N9" s="14" t="s">
        <v>36</v>
      </c>
      <c r="O9" s="14" t="s">
        <v>7</v>
      </c>
      <c r="P9" s="15"/>
    </row>
    <row r="10" spans="2:19" x14ac:dyDescent="0.25">
      <c r="B10" s="18"/>
      <c r="C10" s="19"/>
      <c r="D10" s="19"/>
      <c r="E10" s="19"/>
      <c r="F10" s="19"/>
      <c r="G10" s="23"/>
      <c r="H10" s="19"/>
      <c r="I10" s="19"/>
      <c r="J10" s="19"/>
      <c r="K10" s="19"/>
      <c r="L10" s="23"/>
      <c r="M10" s="19"/>
      <c r="N10" s="19"/>
      <c r="O10" s="19"/>
      <c r="P10" s="20"/>
    </row>
    <row r="11" spans="2:19" x14ac:dyDescent="0.25">
      <c r="B11" s="1"/>
      <c r="C11" s="65" t="s">
        <v>23</v>
      </c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2"/>
    </row>
    <row r="12" spans="2:19" x14ac:dyDescent="0.25">
      <c r="B12" s="3"/>
      <c r="C12" s="4" t="s">
        <v>0</v>
      </c>
      <c r="D12" s="4" t="s">
        <v>1</v>
      </c>
      <c r="E12" s="4" t="s">
        <v>2</v>
      </c>
      <c r="F12" s="4"/>
      <c r="G12" s="24"/>
      <c r="H12" s="4" t="s">
        <v>0</v>
      </c>
      <c r="I12" s="4" t="s">
        <v>1</v>
      </c>
      <c r="J12" s="4" t="s">
        <v>2</v>
      </c>
      <c r="K12" s="4"/>
      <c r="L12" s="27"/>
      <c r="M12" s="4" t="s">
        <v>0</v>
      </c>
      <c r="N12" s="4" t="s">
        <v>1</v>
      </c>
      <c r="O12" s="4" t="s">
        <v>2</v>
      </c>
      <c r="P12" s="5"/>
    </row>
    <row r="13" spans="2:19" x14ac:dyDescent="0.25">
      <c r="B13" s="3"/>
      <c r="C13" s="6">
        <v>37316</v>
      </c>
      <c r="D13" s="4" t="s">
        <v>10</v>
      </c>
      <c r="E13" s="4" t="s">
        <v>7</v>
      </c>
      <c r="F13" s="4"/>
      <c r="G13" s="24"/>
      <c r="H13" s="21" t="s">
        <v>30</v>
      </c>
      <c r="I13" s="4" t="s">
        <v>31</v>
      </c>
      <c r="J13" s="4" t="s">
        <v>4</v>
      </c>
      <c r="K13" s="4"/>
      <c r="L13" s="24"/>
      <c r="M13" s="29" t="s">
        <v>30</v>
      </c>
      <c r="N13" s="28" t="s">
        <v>37</v>
      </c>
      <c r="O13" s="28" t="s">
        <v>4</v>
      </c>
      <c r="P13" s="5"/>
    </row>
    <row r="14" spans="2:19" x14ac:dyDescent="0.25">
      <c r="B14" s="3"/>
      <c r="C14" s="6">
        <v>37681</v>
      </c>
      <c r="D14" s="4" t="s">
        <v>11</v>
      </c>
      <c r="E14" s="4" t="s">
        <v>4</v>
      </c>
      <c r="F14" s="4"/>
      <c r="G14" s="24"/>
      <c r="H14" s="6">
        <v>39873</v>
      </c>
      <c r="I14" s="4" t="s">
        <v>28</v>
      </c>
      <c r="J14" s="4" t="s">
        <v>4</v>
      </c>
      <c r="K14" s="4"/>
      <c r="L14" s="24"/>
      <c r="M14" s="30">
        <v>36951</v>
      </c>
      <c r="N14" s="28" t="s">
        <v>38</v>
      </c>
      <c r="O14" s="28" t="s">
        <v>4</v>
      </c>
      <c r="P14" s="5"/>
    </row>
    <row r="15" spans="2:19" x14ac:dyDescent="0.25">
      <c r="B15" s="3"/>
      <c r="C15" s="6">
        <v>38047</v>
      </c>
      <c r="D15" s="4" t="s">
        <v>12</v>
      </c>
      <c r="E15" s="4" t="s">
        <v>4</v>
      </c>
      <c r="F15" s="4"/>
      <c r="G15" s="24"/>
      <c r="H15" s="6">
        <v>40238</v>
      </c>
      <c r="I15" s="4" t="s">
        <v>32</v>
      </c>
      <c r="J15" s="4" t="s">
        <v>4</v>
      </c>
      <c r="K15" s="4"/>
      <c r="L15" s="24"/>
      <c r="M15" s="30">
        <v>37316</v>
      </c>
      <c r="N15" s="28" t="s">
        <v>18</v>
      </c>
      <c r="O15" s="28" t="s">
        <v>7</v>
      </c>
      <c r="P15" s="5"/>
    </row>
    <row r="16" spans="2:19" x14ac:dyDescent="0.25">
      <c r="B16" s="3"/>
      <c r="C16" s="6">
        <v>39873</v>
      </c>
      <c r="D16" s="4" t="s">
        <v>13</v>
      </c>
      <c r="E16" s="4" t="s">
        <v>7</v>
      </c>
      <c r="F16" s="4"/>
      <c r="G16" s="24"/>
      <c r="H16" s="6">
        <v>40603</v>
      </c>
      <c r="I16" s="4" t="s">
        <v>3</v>
      </c>
      <c r="J16" s="4" t="s">
        <v>4</v>
      </c>
      <c r="K16" s="4"/>
      <c r="L16" s="24"/>
      <c r="M16" s="30">
        <v>37681</v>
      </c>
      <c r="N16" s="28" t="s">
        <v>39</v>
      </c>
      <c r="O16" s="28" t="s">
        <v>7</v>
      </c>
      <c r="P16" s="5"/>
    </row>
    <row r="17" spans="2:16" x14ac:dyDescent="0.25">
      <c r="B17" s="3"/>
      <c r="C17" s="6">
        <v>40603</v>
      </c>
      <c r="D17" s="7" t="s">
        <v>14</v>
      </c>
      <c r="E17" s="4" t="s">
        <v>7</v>
      </c>
      <c r="F17" s="4"/>
      <c r="G17" s="24"/>
      <c r="H17" s="6">
        <v>42430</v>
      </c>
      <c r="I17" s="4" t="s">
        <v>31</v>
      </c>
      <c r="J17" s="4" t="s">
        <v>7</v>
      </c>
      <c r="K17" s="4"/>
      <c r="L17" s="24"/>
      <c r="M17" s="30">
        <v>38412</v>
      </c>
      <c r="N17" s="28" t="s">
        <v>29</v>
      </c>
      <c r="O17" s="28" t="s">
        <v>7</v>
      </c>
      <c r="P17" s="5"/>
    </row>
    <row r="18" spans="2:16" x14ac:dyDescent="0.25">
      <c r="B18" s="3"/>
      <c r="C18" s="6">
        <v>40603</v>
      </c>
      <c r="D18" s="4" t="s">
        <v>15</v>
      </c>
      <c r="E18" s="4" t="s">
        <v>4</v>
      </c>
      <c r="F18" s="4"/>
      <c r="G18" s="24"/>
      <c r="H18" s="6">
        <v>42795</v>
      </c>
      <c r="I18" s="4" t="s">
        <v>16</v>
      </c>
      <c r="J18" s="4" t="s">
        <v>4</v>
      </c>
      <c r="K18" s="4"/>
      <c r="L18" s="24"/>
      <c r="M18" s="30">
        <v>39508</v>
      </c>
      <c r="N18" s="28" t="s">
        <v>41</v>
      </c>
      <c r="O18" s="28" t="s">
        <v>7</v>
      </c>
      <c r="P18" s="5"/>
    </row>
    <row r="19" spans="2:16" x14ac:dyDescent="0.25">
      <c r="B19" s="3"/>
      <c r="C19" s="6">
        <v>42795</v>
      </c>
      <c r="D19" s="7" t="s">
        <v>17</v>
      </c>
      <c r="E19" s="4" t="s">
        <v>7</v>
      </c>
      <c r="F19" s="4"/>
      <c r="G19" s="24"/>
      <c r="H19" s="6">
        <v>43160</v>
      </c>
      <c r="I19" s="4" t="s">
        <v>3</v>
      </c>
      <c r="J19" s="4" t="s">
        <v>7</v>
      </c>
      <c r="K19" s="4"/>
      <c r="L19" s="24"/>
      <c r="M19" s="30">
        <v>40969</v>
      </c>
      <c r="N19" s="28" t="s">
        <v>12</v>
      </c>
      <c r="O19" s="28" t="s">
        <v>7</v>
      </c>
      <c r="P19" s="5"/>
    </row>
    <row r="20" spans="2:16" x14ac:dyDescent="0.25">
      <c r="B20" s="3"/>
      <c r="C20" s="6">
        <v>44621</v>
      </c>
      <c r="D20" s="4" t="s">
        <v>16</v>
      </c>
      <c r="E20" s="4" t="s">
        <v>7</v>
      </c>
      <c r="F20" s="4"/>
      <c r="G20" s="24"/>
      <c r="H20" s="6">
        <v>46082</v>
      </c>
      <c r="I20" s="4" t="s">
        <v>3</v>
      </c>
      <c r="J20" s="4" t="s">
        <v>7</v>
      </c>
      <c r="K20" s="4"/>
      <c r="L20" s="24"/>
      <c r="M20" s="30">
        <v>45352</v>
      </c>
      <c r="N20" s="28" t="s">
        <v>39</v>
      </c>
      <c r="O20" s="28" t="s">
        <v>7</v>
      </c>
      <c r="P20" s="5"/>
    </row>
    <row r="21" spans="2:16" x14ac:dyDescent="0.25">
      <c r="B21" s="3"/>
      <c r="C21" s="6">
        <v>44986</v>
      </c>
      <c r="D21" s="7" t="s">
        <v>18</v>
      </c>
      <c r="E21" s="4" t="s">
        <v>7</v>
      </c>
      <c r="F21" s="4"/>
      <c r="G21" s="24"/>
      <c r="H21" s="6">
        <v>46082</v>
      </c>
      <c r="I21" s="4" t="s">
        <v>13</v>
      </c>
      <c r="J21" s="4" t="s">
        <v>7</v>
      </c>
      <c r="K21" s="4"/>
      <c r="L21" s="24"/>
      <c r="M21" s="30">
        <v>45717</v>
      </c>
      <c r="N21" s="28" t="s">
        <v>40</v>
      </c>
      <c r="O21" s="28" t="s">
        <v>7</v>
      </c>
      <c r="P21" s="5"/>
    </row>
    <row r="22" spans="2:16" x14ac:dyDescent="0.25">
      <c r="B22" s="8"/>
      <c r="C22" s="9" t="s">
        <v>104</v>
      </c>
      <c r="D22" s="9"/>
      <c r="E22" s="9" t="s">
        <v>4</v>
      </c>
      <c r="F22" s="9"/>
      <c r="G22" s="25"/>
      <c r="H22" s="9"/>
      <c r="I22" s="9"/>
      <c r="J22" s="9"/>
      <c r="K22" s="9"/>
      <c r="L22" s="25"/>
      <c r="M22" s="54">
        <v>46082</v>
      </c>
      <c r="N22" s="55">
        <v>0.35416666666666669</v>
      </c>
      <c r="O22" s="9" t="s">
        <v>7</v>
      </c>
      <c r="P22" s="10"/>
    </row>
    <row r="23" spans="2:16" x14ac:dyDescent="0.25">
      <c r="C23" t="s">
        <v>104</v>
      </c>
      <c r="D23" s="51" t="s">
        <v>105</v>
      </c>
      <c r="E23" s="52" t="s">
        <v>7</v>
      </c>
      <c r="H23" s="46">
        <v>46082</v>
      </c>
      <c r="I23" s="52" t="s">
        <v>114</v>
      </c>
      <c r="J23" s="52" t="s">
        <v>7</v>
      </c>
      <c r="M23" s="46">
        <v>46082</v>
      </c>
      <c r="N23" s="53">
        <v>0.58680555555555558</v>
      </c>
      <c r="O23" s="28" t="s">
        <v>7</v>
      </c>
    </row>
    <row r="24" spans="2:16" x14ac:dyDescent="0.25">
      <c r="C24" t="s">
        <v>104</v>
      </c>
      <c r="D24" s="52" t="s">
        <v>106</v>
      </c>
      <c r="E24" s="52" t="s">
        <v>4</v>
      </c>
      <c r="H24" s="46">
        <v>46082</v>
      </c>
      <c r="I24" s="52" t="s">
        <v>127</v>
      </c>
      <c r="J24" s="52" t="s">
        <v>7</v>
      </c>
      <c r="M24" s="46">
        <v>46082</v>
      </c>
      <c r="N24" s="53">
        <v>0.82638888888888884</v>
      </c>
      <c r="O24" s="28" t="s">
        <v>4</v>
      </c>
    </row>
    <row r="25" spans="2:16" x14ac:dyDescent="0.25">
      <c r="C25" t="s">
        <v>104</v>
      </c>
      <c r="D25" s="51" t="s">
        <v>107</v>
      </c>
      <c r="E25" s="52" t="s">
        <v>4</v>
      </c>
      <c r="H25" s="46">
        <v>46082</v>
      </c>
      <c r="I25" s="52" t="s">
        <v>128</v>
      </c>
      <c r="J25" s="52" t="s">
        <v>4</v>
      </c>
      <c r="M25" s="46">
        <v>46813</v>
      </c>
      <c r="N25" s="53">
        <v>0.82986111111111116</v>
      </c>
      <c r="O25" s="28" t="s">
        <v>4</v>
      </c>
    </row>
    <row r="26" spans="2:16" x14ac:dyDescent="0.25">
      <c r="C26" t="s">
        <v>108</v>
      </c>
      <c r="D26" s="52" t="s">
        <v>109</v>
      </c>
      <c r="E26" s="52" t="s">
        <v>4</v>
      </c>
      <c r="H26" s="46">
        <v>46082</v>
      </c>
      <c r="I26" s="52" t="s">
        <v>118</v>
      </c>
      <c r="J26" s="52" t="s">
        <v>7</v>
      </c>
      <c r="M26" s="46">
        <v>46813</v>
      </c>
      <c r="N26" s="53">
        <v>0.87847222222222221</v>
      </c>
      <c r="O26" s="28" t="s">
        <v>4</v>
      </c>
    </row>
    <row r="27" spans="2:16" x14ac:dyDescent="0.25">
      <c r="C27" s="46">
        <v>47178</v>
      </c>
      <c r="D27" s="51" t="s">
        <v>110</v>
      </c>
      <c r="E27" s="52" t="s">
        <v>4</v>
      </c>
      <c r="H27" s="46">
        <v>46813</v>
      </c>
      <c r="I27" s="52" t="s">
        <v>129</v>
      </c>
      <c r="J27" s="52" t="s">
        <v>4</v>
      </c>
      <c r="M27" s="46">
        <v>47178</v>
      </c>
      <c r="N27" s="53">
        <v>0.1076388888888889</v>
      </c>
      <c r="O27" s="28" t="s">
        <v>7</v>
      </c>
    </row>
    <row r="28" spans="2:16" x14ac:dyDescent="0.25">
      <c r="C28" s="46">
        <v>47178</v>
      </c>
      <c r="D28" s="52" t="s">
        <v>111</v>
      </c>
      <c r="E28" s="52" t="s">
        <v>4</v>
      </c>
      <c r="H28" s="46">
        <v>46813</v>
      </c>
      <c r="I28" s="52" t="s">
        <v>130</v>
      </c>
      <c r="J28" s="52" t="s">
        <v>7</v>
      </c>
      <c r="M28" s="46">
        <v>47178</v>
      </c>
      <c r="N28" s="53">
        <v>0.3923611111111111</v>
      </c>
      <c r="O28" s="28" t="s">
        <v>4</v>
      </c>
    </row>
    <row r="29" spans="2:16" x14ac:dyDescent="0.25">
      <c r="C29" s="46">
        <v>47178</v>
      </c>
      <c r="D29" s="51" t="s">
        <v>112</v>
      </c>
      <c r="E29" s="52" t="s">
        <v>4</v>
      </c>
      <c r="H29" s="46">
        <v>47178</v>
      </c>
      <c r="I29" s="53">
        <v>3.8194444444444441E-2</v>
      </c>
      <c r="J29" s="52" t="s">
        <v>4</v>
      </c>
      <c r="M29" s="46">
        <v>47178</v>
      </c>
      <c r="N29" s="53">
        <v>0.44097222222222227</v>
      </c>
      <c r="O29" s="28" t="s">
        <v>4</v>
      </c>
    </row>
    <row r="30" spans="2:16" x14ac:dyDescent="0.25">
      <c r="C30" s="46">
        <v>11018</v>
      </c>
      <c r="D30" s="52" t="s">
        <v>113</v>
      </c>
      <c r="E30" s="52" t="s">
        <v>4</v>
      </c>
      <c r="H30" s="46">
        <v>47178</v>
      </c>
      <c r="I30" s="52" t="s">
        <v>131</v>
      </c>
      <c r="J30" s="52" t="s">
        <v>7</v>
      </c>
      <c r="M30" s="46">
        <v>47178</v>
      </c>
      <c r="N30" s="53">
        <v>0.74305555555555547</v>
      </c>
      <c r="O30" s="28" t="s">
        <v>7</v>
      </c>
    </row>
    <row r="31" spans="2:16" x14ac:dyDescent="0.25">
      <c r="C31" s="46">
        <v>11018</v>
      </c>
      <c r="D31" s="51" t="s">
        <v>114</v>
      </c>
      <c r="E31" s="52" t="s">
        <v>4</v>
      </c>
      <c r="H31" s="46">
        <v>47178</v>
      </c>
      <c r="I31" s="53">
        <v>0.1423611111111111</v>
      </c>
      <c r="J31" s="52" t="s">
        <v>7</v>
      </c>
      <c r="M31" s="46">
        <v>11018</v>
      </c>
      <c r="N31" s="53">
        <v>0.22569444444444445</v>
      </c>
      <c r="O31" s="28" t="s">
        <v>4</v>
      </c>
    </row>
    <row r="32" spans="2:16" x14ac:dyDescent="0.25">
      <c r="C32" s="46">
        <v>11018</v>
      </c>
      <c r="D32" s="52" t="s">
        <v>115</v>
      </c>
      <c r="E32" s="52" t="s">
        <v>4</v>
      </c>
      <c r="H32" s="46">
        <v>11018</v>
      </c>
      <c r="I32" s="53">
        <v>9.375E-2</v>
      </c>
      <c r="J32" s="52" t="s">
        <v>7</v>
      </c>
      <c r="M32" s="46">
        <v>11018</v>
      </c>
      <c r="N32" s="53">
        <v>0.39513888888888887</v>
      </c>
      <c r="O32" s="28" t="s">
        <v>4</v>
      </c>
    </row>
    <row r="33" spans="3:20" x14ac:dyDescent="0.25">
      <c r="C33" s="46">
        <v>11018</v>
      </c>
      <c r="D33" s="51" t="s">
        <v>107</v>
      </c>
      <c r="E33" s="52" t="s">
        <v>4</v>
      </c>
      <c r="H33" s="46">
        <v>11018</v>
      </c>
      <c r="I33" s="53">
        <v>0.26041666666666669</v>
      </c>
      <c r="J33" s="52" t="s">
        <v>7</v>
      </c>
      <c r="M33" s="46">
        <v>11018</v>
      </c>
      <c r="N33" s="53">
        <v>0.60416666666666663</v>
      </c>
      <c r="O33" s="28" t="s">
        <v>7</v>
      </c>
    </row>
    <row r="34" spans="3:20" x14ac:dyDescent="0.25">
      <c r="C34" s="46">
        <v>11383</v>
      </c>
      <c r="D34" s="52" t="s">
        <v>116</v>
      </c>
      <c r="E34" s="52" t="s">
        <v>7</v>
      </c>
      <c r="H34" s="46">
        <v>11018</v>
      </c>
      <c r="I34" s="53">
        <v>0.32291666666666669</v>
      </c>
      <c r="J34" s="52" t="s">
        <v>4</v>
      </c>
      <c r="M34" s="46">
        <v>11018</v>
      </c>
      <c r="N34" s="53">
        <v>0.86458333333333337</v>
      </c>
      <c r="O34" s="28" t="s">
        <v>4</v>
      </c>
    </row>
    <row r="35" spans="3:20" x14ac:dyDescent="0.25">
      <c r="C35" s="46">
        <v>11383</v>
      </c>
      <c r="D35" s="51" t="s">
        <v>117</v>
      </c>
      <c r="E35" s="52" t="s">
        <v>4</v>
      </c>
      <c r="H35" s="46">
        <v>11018</v>
      </c>
      <c r="I35" s="53">
        <v>0.83680555555555547</v>
      </c>
      <c r="J35" s="52" t="s">
        <v>7</v>
      </c>
      <c r="M35" s="46">
        <v>11383</v>
      </c>
      <c r="N35" s="53">
        <v>7.9861111111111105E-2</v>
      </c>
      <c r="O35" s="28" t="s">
        <v>7</v>
      </c>
    </row>
    <row r="36" spans="3:20" x14ac:dyDescent="0.25">
      <c r="C36" s="46">
        <v>11383</v>
      </c>
      <c r="D36" s="52" t="s">
        <v>112</v>
      </c>
      <c r="E36" s="52" t="s">
        <v>7</v>
      </c>
      <c r="H36" s="46">
        <v>11383</v>
      </c>
      <c r="I36" s="53">
        <v>7.6388888888888895E-2</v>
      </c>
      <c r="J36" s="52" t="s">
        <v>7</v>
      </c>
      <c r="M36" s="46">
        <v>11383</v>
      </c>
      <c r="N36" s="53">
        <v>0.14583333333333334</v>
      </c>
      <c r="O36" s="28" t="s">
        <v>4</v>
      </c>
    </row>
    <row r="37" spans="3:20" x14ac:dyDescent="0.25">
      <c r="C37" s="46">
        <v>11383</v>
      </c>
      <c r="D37" s="51" t="s">
        <v>118</v>
      </c>
      <c r="E37" s="52" t="s">
        <v>7</v>
      </c>
      <c r="H37" s="46">
        <v>11383</v>
      </c>
      <c r="I37" s="53">
        <v>9.375E-2</v>
      </c>
      <c r="J37" s="52" t="s">
        <v>4</v>
      </c>
      <c r="M37" s="46">
        <v>11383</v>
      </c>
      <c r="N37" s="53">
        <v>0.17013888888888887</v>
      </c>
      <c r="O37" s="28" t="s">
        <v>7</v>
      </c>
    </row>
    <row r="38" spans="3:20" x14ac:dyDescent="0.25">
      <c r="C38" s="46">
        <v>11383</v>
      </c>
      <c r="D38" s="52" t="s">
        <v>119</v>
      </c>
      <c r="E38" s="52" t="s">
        <v>4</v>
      </c>
      <c r="H38" s="46">
        <v>11383</v>
      </c>
      <c r="I38" s="53">
        <v>0.4548611111111111</v>
      </c>
      <c r="J38" s="52" t="s">
        <v>4</v>
      </c>
      <c r="M38" s="46">
        <v>11383</v>
      </c>
      <c r="N38" s="53">
        <v>0.44097222222222227</v>
      </c>
      <c r="O38" s="28" t="s">
        <v>4</v>
      </c>
    </row>
    <row r="39" spans="3:20" x14ac:dyDescent="0.25">
      <c r="C39" s="46">
        <v>11383</v>
      </c>
      <c r="D39" s="51" t="s">
        <v>120</v>
      </c>
      <c r="E39" s="52" t="s">
        <v>7</v>
      </c>
      <c r="H39" s="46">
        <v>11383</v>
      </c>
      <c r="I39" s="53">
        <v>0.91319444444444453</v>
      </c>
      <c r="J39" s="52" t="s">
        <v>7</v>
      </c>
      <c r="M39" s="46">
        <v>11383</v>
      </c>
      <c r="N39" s="53">
        <v>0.98263888888888884</v>
      </c>
      <c r="O39" s="28" t="s">
        <v>4</v>
      </c>
    </row>
    <row r="40" spans="3:20" ht="15.75" thickBot="1" x14ac:dyDescent="0.3"/>
    <row r="41" spans="3:20" ht="15.75" thickTop="1" x14ac:dyDescent="0.25">
      <c r="C41" s="56"/>
      <c r="D41" s="57"/>
      <c r="E41" s="57"/>
      <c r="F41" s="57"/>
      <c r="G41" s="71" t="s">
        <v>154</v>
      </c>
      <c r="H41" s="71"/>
      <c r="I41" s="71"/>
      <c r="J41" s="71"/>
      <c r="K41" s="72"/>
    </row>
    <row r="42" spans="3:20" x14ac:dyDescent="0.25">
      <c r="C42" s="58"/>
      <c r="D42" s="4" t="s">
        <v>133</v>
      </c>
      <c r="E42" s="4"/>
      <c r="F42" s="4"/>
      <c r="G42" s="4"/>
      <c r="H42" s="63" t="s">
        <v>134</v>
      </c>
      <c r="I42" s="63" t="s">
        <v>135</v>
      </c>
      <c r="J42" s="63" t="s">
        <v>136</v>
      </c>
      <c r="K42" s="59"/>
    </row>
    <row r="43" spans="3:20" x14ac:dyDescent="0.25">
      <c r="C43" s="58"/>
      <c r="D43" s="73" t="s">
        <v>153</v>
      </c>
      <c r="E43" s="73"/>
      <c r="F43" s="73"/>
      <c r="G43" s="73"/>
      <c r="H43" s="64">
        <v>1</v>
      </c>
      <c r="I43" s="64">
        <v>1</v>
      </c>
      <c r="J43" s="64">
        <v>1</v>
      </c>
      <c r="K43" s="59"/>
    </row>
    <row r="44" spans="3:20" x14ac:dyDescent="0.25">
      <c r="C44" s="58"/>
      <c r="D44" s="73" t="s">
        <v>137</v>
      </c>
      <c r="E44" s="73"/>
      <c r="F44" s="73"/>
      <c r="G44" s="73"/>
      <c r="H44" s="64" t="s">
        <v>138</v>
      </c>
      <c r="I44" s="64" t="s">
        <v>138</v>
      </c>
      <c r="J44" s="64" t="s">
        <v>138</v>
      </c>
      <c r="K44" s="59"/>
    </row>
    <row r="45" spans="3:20" x14ac:dyDescent="0.25">
      <c r="C45" s="58"/>
      <c r="D45" s="73" t="s">
        <v>142</v>
      </c>
      <c r="E45" s="73"/>
      <c r="F45" s="73"/>
      <c r="G45" s="73"/>
      <c r="H45" s="64" t="s">
        <v>139</v>
      </c>
      <c r="I45" s="64" t="s">
        <v>139</v>
      </c>
      <c r="J45" s="64" t="s">
        <v>139</v>
      </c>
      <c r="K45" s="59"/>
    </row>
    <row r="46" spans="3:20" x14ac:dyDescent="0.25">
      <c r="C46" s="58"/>
      <c r="D46" s="73" t="s">
        <v>140</v>
      </c>
      <c r="E46" s="73"/>
      <c r="F46" s="73"/>
      <c r="G46" s="73"/>
      <c r="H46" s="64" t="s">
        <v>141</v>
      </c>
      <c r="I46" s="64" t="s">
        <v>141</v>
      </c>
      <c r="J46" s="64" t="s">
        <v>141</v>
      </c>
      <c r="K46" s="59"/>
      <c r="T46" t="s">
        <v>157</v>
      </c>
    </row>
    <row r="47" spans="3:20" x14ac:dyDescent="0.25">
      <c r="C47" s="58"/>
      <c r="D47" s="73" t="s">
        <v>143</v>
      </c>
      <c r="E47" s="73"/>
      <c r="F47" s="73"/>
      <c r="G47" s="73"/>
      <c r="H47" s="64" t="s">
        <v>144</v>
      </c>
      <c r="I47" s="64" t="s">
        <v>144</v>
      </c>
      <c r="J47" s="64" t="s">
        <v>144</v>
      </c>
      <c r="K47" s="59"/>
      <c r="T47" t="s">
        <v>158</v>
      </c>
    </row>
    <row r="48" spans="3:20" x14ac:dyDescent="0.25">
      <c r="C48" s="58"/>
      <c r="D48" s="73" t="s">
        <v>94</v>
      </c>
      <c r="E48" s="73"/>
      <c r="F48" s="73"/>
      <c r="G48" s="73"/>
      <c r="H48" s="64" t="s">
        <v>138</v>
      </c>
      <c r="I48" s="64" t="s">
        <v>138</v>
      </c>
      <c r="J48" s="64" t="s">
        <v>138</v>
      </c>
      <c r="K48" s="59"/>
    </row>
    <row r="49" spans="3:11" x14ac:dyDescent="0.25">
      <c r="C49" s="58"/>
      <c r="D49" s="73" t="s">
        <v>145</v>
      </c>
      <c r="E49" s="73"/>
      <c r="F49" s="73"/>
      <c r="G49" s="73"/>
      <c r="H49" s="64" t="s">
        <v>139</v>
      </c>
      <c r="I49" s="64" t="s">
        <v>139</v>
      </c>
      <c r="J49" s="64" t="s">
        <v>139</v>
      </c>
      <c r="K49" s="59"/>
    </row>
    <row r="50" spans="3:11" x14ac:dyDescent="0.25">
      <c r="C50" s="58"/>
      <c r="D50" s="73" t="s">
        <v>146</v>
      </c>
      <c r="E50" s="73"/>
      <c r="F50" s="73"/>
      <c r="G50" s="73"/>
      <c r="H50" s="64" t="s">
        <v>147</v>
      </c>
      <c r="I50" s="64" t="s">
        <v>147</v>
      </c>
      <c r="J50" s="64" t="s">
        <v>147</v>
      </c>
      <c r="K50" s="59"/>
    </row>
    <row r="51" spans="3:11" x14ac:dyDescent="0.25">
      <c r="C51" s="58"/>
      <c r="D51" s="73" t="s">
        <v>148</v>
      </c>
      <c r="E51" s="73"/>
      <c r="F51" s="73"/>
      <c r="G51" s="73"/>
      <c r="H51" s="64" t="s">
        <v>149</v>
      </c>
      <c r="I51" s="64" t="s">
        <v>151</v>
      </c>
      <c r="J51" s="64" t="s">
        <v>151</v>
      </c>
      <c r="K51" s="59"/>
    </row>
    <row r="52" spans="3:11" x14ac:dyDescent="0.25">
      <c r="C52" s="58"/>
      <c r="D52" s="73" t="s">
        <v>150</v>
      </c>
      <c r="E52" s="73"/>
      <c r="F52" s="73"/>
      <c r="G52" s="73"/>
      <c r="H52" s="64" t="s">
        <v>151</v>
      </c>
      <c r="I52" s="64" t="s">
        <v>151</v>
      </c>
      <c r="J52" s="64" t="s">
        <v>138</v>
      </c>
      <c r="K52" s="59"/>
    </row>
    <row r="53" spans="3:11" x14ac:dyDescent="0.25">
      <c r="C53" s="58"/>
      <c r="D53" s="73" t="s">
        <v>152</v>
      </c>
      <c r="E53" s="73"/>
      <c r="F53" s="73"/>
      <c r="G53" s="73"/>
      <c r="H53" s="64" t="s">
        <v>138</v>
      </c>
      <c r="I53" s="64" t="s">
        <v>138</v>
      </c>
      <c r="J53" s="64" t="s">
        <v>138</v>
      </c>
      <c r="K53" s="59"/>
    </row>
    <row r="54" spans="3:11" x14ac:dyDescent="0.25">
      <c r="C54" s="58"/>
      <c r="D54" s="74" t="s">
        <v>156</v>
      </c>
      <c r="E54" s="75"/>
      <c r="F54" s="75"/>
      <c r="G54" s="76"/>
      <c r="H54" s="64" t="s">
        <v>139</v>
      </c>
      <c r="I54" s="64" t="s">
        <v>139</v>
      </c>
      <c r="J54" s="64" t="s">
        <v>139</v>
      </c>
      <c r="K54" s="59"/>
    </row>
    <row r="55" spans="3:11" x14ac:dyDescent="0.25">
      <c r="C55" s="58"/>
      <c r="D55" s="73" t="s">
        <v>155</v>
      </c>
      <c r="E55" s="73"/>
      <c r="F55" s="73"/>
      <c r="G55" s="73"/>
      <c r="H55" s="64" t="s">
        <v>139</v>
      </c>
      <c r="I55" s="64" t="s">
        <v>139</v>
      </c>
      <c r="J55" s="64" t="s">
        <v>139</v>
      </c>
      <c r="K55" s="59"/>
    </row>
    <row r="56" spans="3:11" ht="15.75" thickBot="1" x14ac:dyDescent="0.3">
      <c r="C56" s="60"/>
      <c r="D56" s="61"/>
      <c r="E56" s="61"/>
      <c r="F56" s="61"/>
      <c r="G56" s="61"/>
      <c r="H56" s="61"/>
      <c r="I56" s="61"/>
      <c r="J56" s="61"/>
      <c r="K56" s="62"/>
    </row>
    <row r="57" spans="3:11" ht="15.75" thickTop="1" x14ac:dyDescent="0.25"/>
    <row r="58" spans="3:11" x14ac:dyDescent="0.25">
      <c r="C58" t="s">
        <v>60</v>
      </c>
    </row>
    <row r="59" spans="3:11" x14ac:dyDescent="0.25">
      <c r="C59" s="48" t="s">
        <v>61</v>
      </c>
    </row>
  </sheetData>
  <mergeCells count="16">
    <mergeCell ref="D45:G45"/>
    <mergeCell ref="D46:G46"/>
    <mergeCell ref="D47:G47"/>
    <mergeCell ref="D48:G48"/>
    <mergeCell ref="D55:G55"/>
    <mergeCell ref="D54:G54"/>
    <mergeCell ref="D49:G49"/>
    <mergeCell ref="D50:G50"/>
    <mergeCell ref="D51:G51"/>
    <mergeCell ref="D52:G52"/>
    <mergeCell ref="D53:G53"/>
    <mergeCell ref="C11:O11"/>
    <mergeCell ref="C3:O3"/>
    <mergeCell ref="G41:K41"/>
    <mergeCell ref="D43:G43"/>
    <mergeCell ref="D44:G44"/>
  </mergeCells>
  <hyperlinks>
    <hyperlink ref="C59" r:id="rId1" xr:uid="{76E6C5CA-27E9-4B19-9AE1-5F70FF756F0B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F5D44-1659-4A94-80A4-D9898A8178DC}">
  <dimension ref="B3:I33"/>
  <sheetViews>
    <sheetView zoomScale="70" zoomScaleNormal="70" workbookViewId="0">
      <selection activeCell="K9" sqref="K9"/>
    </sheetView>
  </sheetViews>
  <sheetFormatPr defaultRowHeight="15" x14ac:dyDescent="0.25"/>
  <cols>
    <col min="3" max="3" width="76.28515625" customWidth="1"/>
    <col min="7" max="7" width="92.5703125" customWidth="1"/>
  </cols>
  <sheetData>
    <row r="3" spans="2:9" x14ac:dyDescent="0.25">
      <c r="C3" t="s">
        <v>68</v>
      </c>
      <c r="F3" t="s">
        <v>92</v>
      </c>
      <c r="G3" s="49">
        <f>150*18</f>
        <v>2700</v>
      </c>
    </row>
    <row r="5" spans="2:9" x14ac:dyDescent="0.25">
      <c r="B5" s="31"/>
      <c r="C5" s="32" t="s">
        <v>57</v>
      </c>
      <c r="D5" t="s">
        <v>49</v>
      </c>
      <c r="E5" t="s">
        <v>50</v>
      </c>
      <c r="I5" t="s">
        <v>90</v>
      </c>
    </row>
    <row r="6" spans="2:9" ht="24.75" x14ac:dyDescent="0.25">
      <c r="B6" s="41" t="s">
        <v>30</v>
      </c>
      <c r="C6" s="40" t="s">
        <v>63</v>
      </c>
      <c r="D6" s="37" t="s">
        <v>55</v>
      </c>
      <c r="E6" s="38" t="s">
        <v>58</v>
      </c>
      <c r="F6" t="s">
        <v>56</v>
      </c>
      <c r="G6" s="43" t="s">
        <v>62</v>
      </c>
      <c r="I6" t="s">
        <v>89</v>
      </c>
    </row>
    <row r="7" spans="2:9" ht="19.5" x14ac:dyDescent="0.25">
      <c r="B7" s="42">
        <v>36951</v>
      </c>
      <c r="C7" s="40" t="s">
        <v>64</v>
      </c>
      <c r="D7" s="37" t="s">
        <v>71</v>
      </c>
      <c r="E7" s="38"/>
      <c r="I7" s="48" t="s">
        <v>91</v>
      </c>
    </row>
    <row r="8" spans="2:9" ht="90" x14ac:dyDescent="0.25">
      <c r="B8" s="41" t="s">
        <v>59</v>
      </c>
      <c r="C8" s="34" t="s">
        <v>65</v>
      </c>
      <c r="D8" s="44"/>
      <c r="E8" s="38"/>
      <c r="F8" t="s">
        <v>66</v>
      </c>
      <c r="G8" s="45" t="s">
        <v>67</v>
      </c>
    </row>
    <row r="9" spans="2:9" ht="105" x14ac:dyDescent="0.25">
      <c r="B9" s="41" t="s">
        <v>52</v>
      </c>
      <c r="C9" s="34" t="s">
        <v>70</v>
      </c>
      <c r="D9" s="38" t="s">
        <v>93</v>
      </c>
      <c r="E9" s="38"/>
      <c r="G9" s="45" t="s">
        <v>69</v>
      </c>
    </row>
    <row r="10" spans="2:9" ht="165" x14ac:dyDescent="0.25">
      <c r="B10" s="46">
        <v>38047</v>
      </c>
      <c r="C10" t="s">
        <v>73</v>
      </c>
      <c r="D10" t="s">
        <v>71</v>
      </c>
      <c r="G10" s="45" t="s">
        <v>72</v>
      </c>
    </row>
    <row r="11" spans="2:9" ht="105" x14ac:dyDescent="0.25">
      <c r="B11" s="42">
        <v>38412</v>
      </c>
      <c r="C11" s="34" t="s">
        <v>75</v>
      </c>
      <c r="D11" s="38"/>
      <c r="E11" s="38"/>
      <c r="G11" s="45" t="s">
        <v>74</v>
      </c>
    </row>
    <row r="12" spans="2:9" ht="45" x14ac:dyDescent="0.25">
      <c r="B12" s="42">
        <v>39508</v>
      </c>
      <c r="C12" s="34" t="s">
        <v>79</v>
      </c>
      <c r="D12" s="38"/>
      <c r="E12" s="38"/>
      <c r="G12" s="45" t="s">
        <v>78</v>
      </c>
    </row>
    <row r="13" spans="2:9" ht="105" x14ac:dyDescent="0.25">
      <c r="B13" s="41" t="s">
        <v>53</v>
      </c>
      <c r="C13" s="34" t="s">
        <v>77</v>
      </c>
      <c r="D13" t="s">
        <v>94</v>
      </c>
      <c r="G13" s="45" t="s">
        <v>76</v>
      </c>
    </row>
    <row r="14" spans="2:9" ht="105" x14ac:dyDescent="0.25">
      <c r="B14" s="41" t="s">
        <v>54</v>
      </c>
      <c r="C14" s="34" t="s">
        <v>80</v>
      </c>
      <c r="D14" s="50" t="s">
        <v>95</v>
      </c>
      <c r="G14" s="45" t="s">
        <v>81</v>
      </c>
    </row>
    <row r="15" spans="2:9" ht="180" x14ac:dyDescent="0.25">
      <c r="B15" s="47">
        <v>40603</v>
      </c>
      <c r="C15" s="35" t="s">
        <v>97</v>
      </c>
      <c r="D15" s="39" t="s">
        <v>93</v>
      </c>
      <c r="E15" s="39"/>
      <c r="G15" s="45" t="s">
        <v>96</v>
      </c>
    </row>
    <row r="16" spans="2:9" ht="165" x14ac:dyDescent="0.25">
      <c r="B16" s="42">
        <v>40969</v>
      </c>
      <c r="C16" s="36" t="s">
        <v>99</v>
      </c>
      <c r="D16" s="39"/>
      <c r="E16" s="39"/>
      <c r="G16" s="45" t="s">
        <v>98</v>
      </c>
    </row>
    <row r="17" spans="2:9" ht="45" x14ac:dyDescent="0.25">
      <c r="B17" s="42">
        <v>42430</v>
      </c>
      <c r="C17" s="45" t="s">
        <v>82</v>
      </c>
    </row>
    <row r="18" spans="2:9" ht="120" x14ac:dyDescent="0.25">
      <c r="B18" s="42">
        <v>42795</v>
      </c>
      <c r="C18" s="35" t="s">
        <v>101</v>
      </c>
      <c r="D18" t="s">
        <v>102</v>
      </c>
      <c r="E18" s="45" t="s">
        <v>103</v>
      </c>
      <c r="G18" s="45" t="s">
        <v>100</v>
      </c>
    </row>
    <row r="19" spans="2:9" ht="165" x14ac:dyDescent="0.25">
      <c r="B19" s="41" t="s">
        <v>47</v>
      </c>
      <c r="C19" s="33" t="s">
        <v>46</v>
      </c>
      <c r="D19" s="38" t="s">
        <v>48</v>
      </c>
      <c r="E19" s="38" t="s">
        <v>51</v>
      </c>
      <c r="F19" t="s">
        <v>44</v>
      </c>
      <c r="G19" s="45" t="s">
        <v>84</v>
      </c>
    </row>
    <row r="20" spans="2:9" ht="120" x14ac:dyDescent="0.25">
      <c r="B20" s="42">
        <v>44986</v>
      </c>
      <c r="C20" s="35"/>
      <c r="G20" s="45" t="s">
        <v>85</v>
      </c>
    </row>
    <row r="21" spans="2:9" ht="255" x14ac:dyDescent="0.25">
      <c r="B21" s="41" t="s">
        <v>45</v>
      </c>
      <c r="C21" s="34" t="s">
        <v>42</v>
      </c>
      <c r="D21" s="38"/>
      <c r="E21" s="38"/>
      <c r="F21" t="s">
        <v>43</v>
      </c>
      <c r="G21" s="45" t="s">
        <v>86</v>
      </c>
    </row>
    <row r="22" spans="2:9" ht="330" x14ac:dyDescent="0.25">
      <c r="B22" s="42">
        <v>45717</v>
      </c>
      <c r="C22" s="35"/>
      <c r="G22" s="45" t="s">
        <v>87</v>
      </c>
    </row>
    <row r="23" spans="2:9" ht="270" x14ac:dyDescent="0.25">
      <c r="B23" s="42">
        <v>46082</v>
      </c>
      <c r="C23" s="36"/>
      <c r="G23" s="45" t="s">
        <v>88</v>
      </c>
      <c r="I23" t="s">
        <v>89</v>
      </c>
    </row>
    <row r="24" spans="2:9" ht="180" x14ac:dyDescent="0.25">
      <c r="B24" s="46">
        <v>46813</v>
      </c>
      <c r="C24" s="45" t="s">
        <v>122</v>
      </c>
      <c r="G24" s="45" t="s">
        <v>121</v>
      </c>
    </row>
    <row r="25" spans="2:9" ht="180" x14ac:dyDescent="0.25">
      <c r="B25" s="46">
        <v>47178</v>
      </c>
      <c r="C25" t="s">
        <v>123</v>
      </c>
      <c r="G25" s="45" t="s">
        <v>124</v>
      </c>
    </row>
    <row r="26" spans="2:9" ht="315" x14ac:dyDescent="0.25">
      <c r="B26" s="46">
        <v>11018</v>
      </c>
      <c r="G26" s="45" t="s">
        <v>125</v>
      </c>
    </row>
    <row r="27" spans="2:9" ht="285" x14ac:dyDescent="0.25">
      <c r="B27" s="46">
        <v>11383</v>
      </c>
      <c r="C27" t="s">
        <v>132</v>
      </c>
      <c r="G27" s="45" t="s">
        <v>126</v>
      </c>
    </row>
    <row r="33" spans="3:3" x14ac:dyDescent="0.25">
      <c r="C33" s="48" t="s">
        <v>83</v>
      </c>
    </row>
  </sheetData>
  <hyperlinks>
    <hyperlink ref="C7" r:id="rId1" display="https://www.wsj.com/articles/senate-moves-ahead-with-covid-19-aid-package-without-minimum-wage-boost-11614615765" xr:uid="{6E90B133-5F30-4872-BB66-EEC9875FD2DC}"/>
    <hyperlink ref="C33" r:id="rId2" xr:uid="{FF28A504-ABB6-4FB8-BABA-AEB9D8EDE575}"/>
    <hyperlink ref="I7" r:id="rId3" xr:uid="{61A110CF-DA3C-42D6-82D2-899483731015}"/>
  </hyperlinks>
  <pageMargins left="0.511811024" right="0.511811024" top="0.78740157499999996" bottom="0.78740157499999996" header="0.31496062000000002" footer="0.31496062000000002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39F9A-CDB7-463C-9F6B-09FCE678C0CA}">
  <dimension ref="C5:I5"/>
  <sheetViews>
    <sheetView tabSelected="1" workbookViewId="0">
      <selection activeCell="I6" sqref="I6"/>
    </sheetView>
  </sheetViews>
  <sheetFormatPr defaultRowHeight="15" x14ac:dyDescent="0.25"/>
  <sheetData>
    <row r="5" spans="3:9" x14ac:dyDescent="0.25">
      <c r="C5" t="s">
        <v>159</v>
      </c>
      <c r="I5" t="s">
        <v>160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picos</vt:lpstr>
      <vt:lpstr>detalhe news</vt:lpstr>
      <vt:lpstr>copytrader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JAIRO SANABRIA SARMIENTO</dc:creator>
  <cp:lastModifiedBy>JOHN JAIRO SANABRIA SARMIENTO</cp:lastModifiedBy>
  <dcterms:created xsi:type="dcterms:W3CDTF">2021-03-28T20:11:48Z</dcterms:created>
  <dcterms:modified xsi:type="dcterms:W3CDTF">2021-04-02T11:55:28Z</dcterms:modified>
</cp:coreProperties>
</file>