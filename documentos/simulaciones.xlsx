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activos\forex\"/>
    </mc:Choice>
  </mc:AlternateContent>
  <xr:revisionPtr revIDLastSave="0" documentId="13_ncr:1_{733F265C-E22C-4E92-8B89-A61180016C89}" xr6:coauthVersionLast="46" xr6:coauthVersionMax="46" xr10:uidLastSave="{00000000-0000-0000-0000-000000000000}"/>
  <bookViews>
    <workbookView xWindow="-120" yWindow="-120" windowWidth="20730" windowHeight="11160" activeTab="2" xr2:uid="{C4566018-2A7F-4720-B1CE-FE04B1F8983E}"/>
  </bookViews>
  <sheets>
    <sheet name="Planilha1" sheetId="1" r:id="rId1"/>
    <sheet name="Planilha2" sheetId="2" r:id="rId2"/>
    <sheet name="Planilha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3" l="1"/>
  <c r="H12" i="3"/>
  <c r="H6" i="3"/>
  <c r="H7" i="3"/>
  <c r="H10" i="3"/>
  <c r="H11" i="3"/>
  <c r="H5" i="3"/>
  <c r="H4" i="3"/>
  <c r="F4" i="2"/>
  <c r="O5" i="2"/>
  <c r="O6" i="2"/>
  <c r="O7" i="2"/>
  <c r="O8" i="2"/>
  <c r="O4" i="2"/>
  <c r="F7" i="2"/>
  <c r="F8" i="2"/>
  <c r="F6" i="2"/>
  <c r="F5" i="2"/>
  <c r="N5" i="1"/>
  <c r="N6" i="1"/>
  <c r="N7" i="1"/>
  <c r="N8" i="1"/>
  <c r="N4" i="1"/>
  <c r="AD5" i="1"/>
  <c r="AD6" i="1"/>
  <c r="AD7" i="1"/>
  <c r="AD8" i="1"/>
  <c r="AD4" i="1"/>
  <c r="V5" i="1"/>
  <c r="V6" i="1"/>
  <c r="V7" i="1"/>
  <c r="V8" i="1"/>
  <c r="V9" i="1"/>
  <c r="V10" i="1"/>
  <c r="V11" i="1"/>
  <c r="V12" i="1"/>
  <c r="V13" i="1"/>
  <c r="V14" i="1"/>
  <c r="V15" i="1"/>
  <c r="V4" i="1"/>
  <c r="F15" i="1"/>
  <c r="F14" i="1"/>
  <c r="F13" i="1"/>
  <c r="F9" i="1"/>
  <c r="F10" i="1"/>
  <c r="F11" i="1"/>
  <c r="F12" i="1"/>
  <c r="F6" i="1"/>
  <c r="F7" i="1"/>
  <c r="F8" i="1"/>
  <c r="F17" i="1"/>
  <c r="F5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4" i="1"/>
</calcChain>
</file>

<file path=xl/sharedStrings.xml><?xml version="1.0" encoding="utf-8"?>
<sst xmlns="http://schemas.openxmlformats.org/spreadsheetml/2006/main" count="170" uniqueCount="35">
  <si>
    <t>backtesting</t>
  </si>
  <si>
    <t>codigo</t>
  </si>
  <si>
    <t>fadliomca</t>
  </si>
  <si>
    <t>horizonte</t>
  </si>
  <si>
    <t>m1</t>
  </si>
  <si>
    <t>lucro bruto</t>
  </si>
  <si>
    <t>perda neta</t>
  </si>
  <si>
    <t>lucro liquido</t>
  </si>
  <si>
    <t>eurusd</t>
  </si>
  <si>
    <t>m3</t>
  </si>
  <si>
    <t>moeda</t>
  </si>
  <si>
    <t>gbpusd</t>
  </si>
  <si>
    <t>m6</t>
  </si>
  <si>
    <t>m15</t>
  </si>
  <si>
    <t>m30</t>
  </si>
  <si>
    <t>h1</t>
  </si>
  <si>
    <t>h3</t>
  </si>
  <si>
    <t>h6</t>
  </si>
  <si>
    <t>h12</t>
  </si>
  <si>
    <t>daily</t>
  </si>
  <si>
    <t>monthly</t>
  </si>
  <si>
    <t>weekly 
(2015 (4/IV) - 2021)</t>
  </si>
  <si>
    <t>[12,24,9]</t>
  </si>
  <si>
    <t>parametros</t>
  </si>
  <si>
    <t>[5,35,9]</t>
  </si>
  <si>
    <t>[5, 26,9]</t>
  </si>
  <si>
    <t>[12,35,9]</t>
  </si>
  <si>
    <t xml:space="preserve">2015 4/IV </t>
  </si>
  <si>
    <t>exp_multi</t>
  </si>
  <si>
    <t>ultimo mês</t>
  </si>
  <si>
    <t>ltimo año</t>
  </si>
  <si>
    <t>ultimo año</t>
  </si>
  <si>
    <t>MAMA (MESA Adaptive Moving Average)</t>
  </si>
  <si>
    <t>fadlio (MACD)</t>
  </si>
  <si>
    <t>( moving average 
convergence/divergence)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</si>
</sst>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43" fontId="0" fillId="0" borderId="0" xfId="1" applyFont="1" applyBorder="1"/>
    <xf numFmtId="43" fontId="0" fillId="0" borderId="7" xfId="1" applyFont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12_24_9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Planilha1!$C$4:$C$8</c:f>
              <c:strCache>
                <c:ptCount val="5"/>
                <c:pt idx="0">
                  <c:v>m1</c:v>
                </c:pt>
                <c:pt idx="1">
                  <c:v>m3</c:v>
                </c:pt>
                <c:pt idx="2">
                  <c:v>m6</c:v>
                </c:pt>
                <c:pt idx="3">
                  <c:v>m15</c:v>
                </c:pt>
                <c:pt idx="4">
                  <c:v>m30</c:v>
                </c:pt>
              </c:strCache>
            </c:strRef>
          </c:cat>
          <c:val>
            <c:numRef>
              <c:f>Planilha1!$F$4:$F$8</c:f>
              <c:numCache>
                <c:formatCode>General</c:formatCode>
                <c:ptCount val="5"/>
                <c:pt idx="0">
                  <c:v>-128.9</c:v>
                </c:pt>
                <c:pt idx="1">
                  <c:v>17.02000000000001</c:v>
                </c:pt>
                <c:pt idx="2">
                  <c:v>14.860000000000014</c:v>
                </c:pt>
                <c:pt idx="3">
                  <c:v>-74.12</c:v>
                </c:pt>
                <c:pt idx="4">
                  <c:v>-17.700000000000017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4-46CC-8311-FE077BAEC3B6}"/>
            </c:ext>
          </c:extLst>
        </c:ser>
        <c:ser>
          <c:idx val="1"/>
          <c:order val="1"/>
          <c:tx>
            <c:v>5_35_9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Planilha1!$C$4:$C$8</c:f>
              <c:strCache>
                <c:ptCount val="5"/>
                <c:pt idx="0">
                  <c:v>m1</c:v>
                </c:pt>
                <c:pt idx="1">
                  <c:v>m3</c:v>
                </c:pt>
                <c:pt idx="2">
                  <c:v>m6</c:v>
                </c:pt>
                <c:pt idx="3">
                  <c:v>m15</c:v>
                </c:pt>
                <c:pt idx="4">
                  <c:v>m30</c:v>
                </c:pt>
              </c:strCache>
            </c:strRef>
          </c:cat>
          <c:val>
            <c:numRef>
              <c:f>Planilha1!$V$4:$V$8</c:f>
              <c:numCache>
                <c:formatCode>_(* #,##0.00_);_(* \(#,##0.00\);_(* "-"??_);_(@_)</c:formatCode>
                <c:ptCount val="5"/>
                <c:pt idx="0">
                  <c:v>1.8599999999999994</c:v>
                </c:pt>
                <c:pt idx="1">
                  <c:v>-546.92000000000007</c:v>
                </c:pt>
                <c:pt idx="2">
                  <c:v>-788.01999999999953</c:v>
                </c:pt>
                <c:pt idx="3">
                  <c:v>-690.36999999999989</c:v>
                </c:pt>
                <c:pt idx="4">
                  <c:v>-338.80000000000018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4-46CC-8311-FE077BAEC3B6}"/>
            </c:ext>
          </c:extLst>
        </c:ser>
        <c:ser>
          <c:idx val="2"/>
          <c:order val="2"/>
          <c:tx>
            <c:strRef>
              <c:f>Planilha1!$AE$4</c:f>
              <c:strCache>
                <c:ptCount val="1"/>
                <c:pt idx="0">
                  <c:v>[5, 26,9]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Planilha1!$AD$4:$AD$8</c:f>
              <c:numCache>
                <c:formatCode>General</c:formatCode>
                <c:ptCount val="5"/>
                <c:pt idx="0">
                  <c:v>-464.97000000000025</c:v>
                </c:pt>
                <c:pt idx="1">
                  <c:v>-719.80000000000018</c:v>
                </c:pt>
                <c:pt idx="2">
                  <c:v>-795.32999999999993</c:v>
                </c:pt>
                <c:pt idx="3">
                  <c:v>-706.55999999999949</c:v>
                </c:pt>
                <c:pt idx="4">
                  <c:v>-442.77000000000044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D4-46CC-8311-FE077BAEC3B6}"/>
            </c:ext>
          </c:extLst>
        </c:ser>
        <c:ser>
          <c:idx val="3"/>
          <c:order val="3"/>
          <c:tx>
            <c:strRef>
              <c:f>Planilha1!$P$4</c:f>
              <c:strCache>
                <c:ptCount val="1"/>
                <c:pt idx="0">
                  <c:v>[12,35,9]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Planilha1!$N$4:$N$8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D4-46CC-8311-FE077BAE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4752"/>
        <c:axId val="95184424"/>
      </c:lineChart>
      <c:catAx>
        <c:axId val="9518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84424"/>
        <c:crosses val="autoZero"/>
        <c:auto val="1"/>
        <c:lblAlgn val="ctr"/>
        <c:lblOffset val="100"/>
        <c:noMultiLvlLbl val="0"/>
      </c:catAx>
      <c:valAx>
        <c:axId val="9518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18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Planilha2!$H$4</c:f>
              <c:strCache>
                <c:ptCount val="1"/>
                <c:pt idx="0">
                  <c:v>[12,24,9]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Planilha2!$C$6:$C$8</c:f>
              <c:strCache>
                <c:ptCount val="3"/>
                <c:pt idx="0">
                  <c:v>m6</c:v>
                </c:pt>
                <c:pt idx="1">
                  <c:v>m15</c:v>
                </c:pt>
                <c:pt idx="2">
                  <c:v>m30</c:v>
                </c:pt>
              </c:strCache>
            </c:strRef>
          </c:cat>
          <c:val>
            <c:numRef>
              <c:f>Planilha2!$F$6:$F$8</c:f>
              <c:numCache>
                <c:formatCode>General</c:formatCode>
                <c:ptCount val="3"/>
                <c:pt idx="0">
                  <c:v>-581.27999999999975</c:v>
                </c:pt>
                <c:pt idx="1">
                  <c:v>-888.5600000000004</c:v>
                </c:pt>
                <c:pt idx="2">
                  <c:v>-237.73000000000002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C7A-4ADF-9B7E-4C908391E99A}"/>
            </c:ext>
          </c:extLst>
        </c:ser>
        <c:ser>
          <c:idx val="1"/>
          <c:order val="1"/>
          <c:tx>
            <c:strRef>
              <c:f>Planilha2!$Q$4</c:f>
              <c:strCache>
                <c:ptCount val="1"/>
                <c:pt idx="0">
                  <c:v>[12,35,9]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Planilha2!$C$6:$C$8</c:f>
              <c:strCache>
                <c:ptCount val="3"/>
                <c:pt idx="0">
                  <c:v>m6</c:v>
                </c:pt>
                <c:pt idx="1">
                  <c:v>m15</c:v>
                </c:pt>
                <c:pt idx="2">
                  <c:v>m30</c:v>
                </c:pt>
              </c:strCache>
            </c:strRef>
          </c:cat>
          <c:val>
            <c:numRef>
              <c:f>Planilha2!$O$6:$O$8</c:f>
              <c:numCache>
                <c:formatCode>General</c:formatCode>
                <c:ptCount val="3"/>
                <c:pt idx="0">
                  <c:v>-594.23000000000047</c:v>
                </c:pt>
                <c:pt idx="1">
                  <c:v>-658.27999999999975</c:v>
                </c:pt>
                <c:pt idx="2">
                  <c:v>-31.320000000000618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7A-4ADF-9B7E-4C908391E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414784"/>
        <c:axId val="339416424"/>
      </c:lineChart>
      <c:catAx>
        <c:axId val="33941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416424"/>
        <c:crosses val="autoZero"/>
        <c:auto val="1"/>
        <c:lblAlgn val="ctr"/>
        <c:lblOffset val="100"/>
        <c:noMultiLvlLbl val="0"/>
      </c:catAx>
      <c:valAx>
        <c:axId val="33941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941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444500</xdr:colOff>
      <xdr:row>10</xdr:row>
      <xdr:rowOff>46567</xdr:rowOff>
    </xdr:from>
    <xdr:to>
      <xdr:col>23</xdr:col>
      <xdr:colOff>465667</xdr:colOff>
      <xdr:row>22</xdr:row>
      <xdr:rowOff>122767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B0A5FC-5C37-4590-B447-2A71D9992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9</xdr:row>
      <xdr:rowOff>104775</xdr:rowOff>
    </xdr:from>
    <xdr:to>
      <xdr:col>13</xdr:col>
      <xdr:colOff>238125</xdr:colOff>
      <xdr:row>23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B6C133-28F3-40C2-8F09-3C10642CF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5AF3-BFE2-41D3-AE0F-E81D69999B15}">
  <dimension ref="B2:AF32"/>
  <sheetViews>
    <sheetView zoomScale="90" zoomScaleNormal="90" workbookViewId="0">
      <selection activeCell="H12" sqref="H12"/>
    </sheetView>
  </sheetViews>
  <sheetFormatPr defaultRowHeight="15" x14ac:dyDescent="0.25"/>
  <cols>
    <col min="3" max="3" width="12.42578125" bestFit="1" customWidth="1"/>
    <col min="4" max="4" width="10.7109375" bestFit="1" customWidth="1"/>
    <col min="5" max="5" width="10.5703125" bestFit="1" customWidth="1"/>
    <col min="6" max="6" width="12.5703125" bestFit="1" customWidth="1"/>
    <col min="9" max="15" width="3.85546875" customWidth="1"/>
    <col min="16" max="16" width="11.28515625" bestFit="1" customWidth="1"/>
    <col min="17" max="17" width="3.85546875" customWidth="1"/>
    <col min="20" max="21" width="10" bestFit="1" customWidth="1"/>
    <col min="22" max="22" width="9.28515625" bestFit="1" customWidth="1"/>
    <col min="28" max="29" width="10" bestFit="1" customWidth="1"/>
  </cols>
  <sheetData>
    <row r="2" spans="2:32" ht="15.75" thickBot="1" x14ac:dyDescent="0.3">
      <c r="B2" t="s">
        <v>0</v>
      </c>
    </row>
    <row r="3" spans="2:32" x14ac:dyDescent="0.25">
      <c r="B3" s="5" t="s">
        <v>1</v>
      </c>
      <c r="C3" s="6" t="s">
        <v>3</v>
      </c>
      <c r="D3" s="6" t="s">
        <v>5</v>
      </c>
      <c r="E3" s="6" t="s">
        <v>6</v>
      </c>
      <c r="F3" s="6" t="s">
        <v>7</v>
      </c>
      <c r="G3" s="6" t="s">
        <v>10</v>
      </c>
      <c r="H3" s="7" t="s">
        <v>23</v>
      </c>
      <c r="J3" s="5" t="s">
        <v>1</v>
      </c>
      <c r="K3" s="6" t="s">
        <v>3</v>
      </c>
      <c r="L3" s="6" t="s">
        <v>5</v>
      </c>
      <c r="M3" s="6" t="s">
        <v>6</v>
      </c>
      <c r="N3" s="6" t="s">
        <v>7</v>
      </c>
      <c r="O3" s="6" t="s">
        <v>10</v>
      </c>
      <c r="P3" s="7" t="s">
        <v>23</v>
      </c>
      <c r="R3" s="5" t="s">
        <v>1</v>
      </c>
      <c r="S3" s="6" t="s">
        <v>3</v>
      </c>
      <c r="T3" s="6" t="s">
        <v>5</v>
      </c>
      <c r="U3" s="6" t="s">
        <v>6</v>
      </c>
      <c r="V3" s="6" t="s">
        <v>7</v>
      </c>
      <c r="W3" s="6" t="s">
        <v>10</v>
      </c>
      <c r="X3" s="7" t="s">
        <v>23</v>
      </c>
      <c r="Y3" s="4"/>
      <c r="Z3" s="5" t="s">
        <v>1</v>
      </c>
      <c r="AA3" s="6" t="s">
        <v>3</v>
      </c>
      <c r="AB3" s="6" t="s">
        <v>5</v>
      </c>
      <c r="AC3" s="6" t="s">
        <v>6</v>
      </c>
      <c r="AD3" s="6" t="s">
        <v>7</v>
      </c>
      <c r="AE3" s="6" t="s">
        <v>10</v>
      </c>
      <c r="AF3" s="7" t="s">
        <v>23</v>
      </c>
    </row>
    <row r="4" spans="2:32" x14ac:dyDescent="0.25">
      <c r="B4" s="8" t="s">
        <v>2</v>
      </c>
      <c r="C4" s="3" t="s">
        <v>4</v>
      </c>
      <c r="D4" s="4">
        <v>162.66999999999999</v>
      </c>
      <c r="E4" s="4">
        <v>-291.57</v>
      </c>
      <c r="F4" s="4">
        <f>D4+E4</f>
        <v>-128.9</v>
      </c>
      <c r="G4" s="4" t="s">
        <v>8</v>
      </c>
      <c r="H4" s="9" t="s">
        <v>22</v>
      </c>
      <c r="J4" s="8"/>
      <c r="K4" s="4" t="s">
        <v>4</v>
      </c>
      <c r="L4" s="4"/>
      <c r="M4" s="4"/>
      <c r="N4" s="4">
        <f>L4+M4</f>
        <v>0</v>
      </c>
      <c r="O4" s="4"/>
      <c r="P4" s="9" t="s">
        <v>26</v>
      </c>
      <c r="R4" s="8"/>
      <c r="S4" s="4" t="s">
        <v>4</v>
      </c>
      <c r="T4" s="14">
        <v>30.03</v>
      </c>
      <c r="U4" s="14">
        <v>-28.17</v>
      </c>
      <c r="V4" s="14">
        <f>T4+U4</f>
        <v>1.8599999999999994</v>
      </c>
      <c r="W4" s="4" t="s">
        <v>8</v>
      </c>
      <c r="X4" s="9" t="s">
        <v>24</v>
      </c>
      <c r="Y4" s="4"/>
      <c r="Z4" s="8"/>
      <c r="AA4" s="4" t="s">
        <v>4</v>
      </c>
      <c r="AB4" s="14">
        <v>7376.84</v>
      </c>
      <c r="AC4" s="14">
        <v>-7841.81</v>
      </c>
      <c r="AD4" s="4">
        <f>AB4+AC4</f>
        <v>-464.97000000000025</v>
      </c>
      <c r="AE4" s="4" t="s">
        <v>25</v>
      </c>
      <c r="AF4" s="9"/>
    </row>
    <row r="5" spans="2:32" x14ac:dyDescent="0.25">
      <c r="B5" s="8" t="s">
        <v>2</v>
      </c>
      <c r="C5" s="3" t="s">
        <v>9</v>
      </c>
      <c r="D5" s="4">
        <v>203.66</v>
      </c>
      <c r="E5" s="4">
        <v>-186.64</v>
      </c>
      <c r="F5" s="4">
        <f t="shared" ref="F5:F32" si="0">D5+E5</f>
        <v>17.02000000000001</v>
      </c>
      <c r="G5" s="4" t="s">
        <v>8</v>
      </c>
      <c r="H5" s="9"/>
      <c r="J5" s="8"/>
      <c r="K5" s="4" t="s">
        <v>9</v>
      </c>
      <c r="L5" s="4"/>
      <c r="M5" s="4"/>
      <c r="N5" s="4">
        <f t="shared" ref="N5:N8" si="1">L5+M5</f>
        <v>0</v>
      </c>
      <c r="O5" s="4"/>
      <c r="P5" s="9"/>
      <c r="R5" s="8"/>
      <c r="S5" s="4" t="s">
        <v>9</v>
      </c>
      <c r="T5" s="14">
        <v>6068.84</v>
      </c>
      <c r="U5" s="14">
        <v>-6615.76</v>
      </c>
      <c r="V5" s="14">
        <f t="shared" ref="V5:V15" si="2">T5+U5</f>
        <v>-546.92000000000007</v>
      </c>
      <c r="W5" s="4" t="s">
        <v>8</v>
      </c>
      <c r="X5" s="9"/>
      <c r="Y5" s="4"/>
      <c r="Z5" s="8"/>
      <c r="AA5" s="4" t="s">
        <v>9</v>
      </c>
      <c r="AB5" s="14">
        <v>6026.7</v>
      </c>
      <c r="AC5" s="14">
        <v>-6746.5</v>
      </c>
      <c r="AD5" s="4">
        <f t="shared" ref="AD5:AD8" si="3">AB5+AC5</f>
        <v>-719.80000000000018</v>
      </c>
      <c r="AE5" s="4"/>
      <c r="AF5" s="9"/>
    </row>
    <row r="6" spans="2:32" x14ac:dyDescent="0.25">
      <c r="B6" s="8" t="s">
        <v>2</v>
      </c>
      <c r="C6" s="3" t="s">
        <v>12</v>
      </c>
      <c r="D6" s="4">
        <v>199.49</v>
      </c>
      <c r="E6" s="4">
        <v>-184.63</v>
      </c>
      <c r="F6" s="4">
        <f t="shared" si="0"/>
        <v>14.860000000000014</v>
      </c>
      <c r="G6" s="4" t="s">
        <v>8</v>
      </c>
      <c r="H6" s="9"/>
      <c r="J6" s="8"/>
      <c r="K6" s="4" t="s">
        <v>12</v>
      </c>
      <c r="L6" s="4"/>
      <c r="M6" s="4"/>
      <c r="N6" s="4">
        <f t="shared" si="1"/>
        <v>0</v>
      </c>
      <c r="O6" s="4"/>
      <c r="P6" s="9"/>
      <c r="R6" s="8"/>
      <c r="S6" s="4" t="s">
        <v>12</v>
      </c>
      <c r="T6" s="14">
        <v>5481.77</v>
      </c>
      <c r="U6" s="14">
        <v>-6269.79</v>
      </c>
      <c r="V6" s="14">
        <f t="shared" si="2"/>
        <v>-788.01999999999953</v>
      </c>
      <c r="W6" s="4"/>
      <c r="X6" s="9"/>
      <c r="Y6" s="4"/>
      <c r="Z6" s="8"/>
      <c r="AA6" s="4" t="s">
        <v>12</v>
      </c>
      <c r="AB6" s="14">
        <v>5490.66</v>
      </c>
      <c r="AC6" s="14">
        <v>-6285.99</v>
      </c>
      <c r="AD6" s="4">
        <f t="shared" si="3"/>
        <v>-795.32999999999993</v>
      </c>
      <c r="AE6" s="4"/>
      <c r="AF6" s="9"/>
    </row>
    <row r="7" spans="2:32" x14ac:dyDescent="0.25">
      <c r="B7" s="8" t="s">
        <v>2</v>
      </c>
      <c r="C7" s="3" t="s">
        <v>13</v>
      </c>
      <c r="D7" s="4">
        <v>129.43</v>
      </c>
      <c r="E7" s="4">
        <v>-203.55</v>
      </c>
      <c r="F7" s="4">
        <f t="shared" si="0"/>
        <v>-74.12</v>
      </c>
      <c r="G7" s="4" t="s">
        <v>8</v>
      </c>
      <c r="H7" s="9"/>
      <c r="J7" s="8"/>
      <c r="K7" s="4" t="s">
        <v>13</v>
      </c>
      <c r="L7" s="4"/>
      <c r="M7" s="4"/>
      <c r="N7" s="4">
        <f t="shared" si="1"/>
        <v>0</v>
      </c>
      <c r="O7" s="4"/>
      <c r="P7" s="9"/>
      <c r="R7" s="8"/>
      <c r="S7" s="4" t="s">
        <v>13</v>
      </c>
      <c r="T7" s="14">
        <v>4724.0600000000004</v>
      </c>
      <c r="U7" s="14">
        <v>-5414.43</v>
      </c>
      <c r="V7" s="14">
        <f t="shared" si="2"/>
        <v>-690.36999999999989</v>
      </c>
      <c r="W7" s="4"/>
      <c r="X7" s="9"/>
      <c r="Y7" s="4"/>
      <c r="Z7" s="8"/>
      <c r="AA7" s="4" t="s">
        <v>13</v>
      </c>
      <c r="AB7" s="14">
        <v>4783.13</v>
      </c>
      <c r="AC7" s="14">
        <v>-5489.69</v>
      </c>
      <c r="AD7" s="4">
        <f t="shared" si="3"/>
        <v>-706.55999999999949</v>
      </c>
      <c r="AE7" s="4"/>
      <c r="AF7" s="9"/>
    </row>
    <row r="8" spans="2:32" ht="15.75" thickBot="1" x14ac:dyDescent="0.3">
      <c r="B8" s="10" t="s">
        <v>2</v>
      </c>
      <c r="C8" s="11" t="s">
        <v>14</v>
      </c>
      <c r="D8" s="12">
        <v>137.94999999999999</v>
      </c>
      <c r="E8" s="12">
        <v>-155.65</v>
      </c>
      <c r="F8" s="12">
        <f t="shared" si="0"/>
        <v>-17.700000000000017</v>
      </c>
      <c r="G8" s="12" t="s">
        <v>8</v>
      </c>
      <c r="H8" s="13"/>
      <c r="J8" s="10"/>
      <c r="K8" s="12" t="s">
        <v>14</v>
      </c>
      <c r="L8" s="12"/>
      <c r="M8" s="12"/>
      <c r="N8" s="4">
        <f t="shared" si="1"/>
        <v>0</v>
      </c>
      <c r="O8" s="12"/>
      <c r="P8" s="13"/>
      <c r="R8" s="10"/>
      <c r="S8" s="12" t="s">
        <v>14</v>
      </c>
      <c r="T8" s="15">
        <v>4239.67</v>
      </c>
      <c r="U8" s="15">
        <v>-4578.47</v>
      </c>
      <c r="V8" s="15">
        <f t="shared" si="2"/>
        <v>-338.80000000000018</v>
      </c>
      <c r="W8" s="12"/>
      <c r="X8" s="13"/>
      <c r="Y8" s="4"/>
      <c r="Z8" s="10"/>
      <c r="AA8" s="12" t="s">
        <v>14</v>
      </c>
      <c r="AB8" s="15">
        <v>4279.9799999999996</v>
      </c>
      <c r="AC8" s="15">
        <v>-4722.75</v>
      </c>
      <c r="AD8" s="12">
        <f t="shared" si="3"/>
        <v>-442.77000000000044</v>
      </c>
      <c r="AE8" s="12"/>
      <c r="AF8" s="13"/>
    </row>
    <row r="9" spans="2:32" x14ac:dyDescent="0.25">
      <c r="B9" t="s">
        <v>2</v>
      </c>
      <c r="C9" s="2" t="s">
        <v>15</v>
      </c>
      <c r="D9">
        <v>147.44999999999999</v>
      </c>
      <c r="E9">
        <v>-116.42</v>
      </c>
      <c r="F9">
        <f t="shared" si="0"/>
        <v>31.029999999999987</v>
      </c>
      <c r="G9" t="s">
        <v>8</v>
      </c>
      <c r="V9">
        <f t="shared" si="2"/>
        <v>0</v>
      </c>
    </row>
    <row r="10" spans="2:32" x14ac:dyDescent="0.25">
      <c r="B10" t="s">
        <v>2</v>
      </c>
      <c r="C10" s="2" t="s">
        <v>16</v>
      </c>
      <c r="D10">
        <v>85.1</v>
      </c>
      <c r="E10">
        <v>-56.91</v>
      </c>
      <c r="F10">
        <f t="shared" si="0"/>
        <v>28.189999999999998</v>
      </c>
      <c r="G10" t="s">
        <v>8</v>
      </c>
      <c r="V10">
        <f t="shared" si="2"/>
        <v>0</v>
      </c>
    </row>
    <row r="11" spans="2:32" x14ac:dyDescent="0.25">
      <c r="B11" t="s">
        <v>2</v>
      </c>
      <c r="C11" s="2" t="s">
        <v>17</v>
      </c>
      <c r="D11">
        <v>40</v>
      </c>
      <c r="E11">
        <v>-54.11</v>
      </c>
      <c r="F11">
        <f t="shared" si="0"/>
        <v>-14.11</v>
      </c>
      <c r="G11" t="s">
        <v>8</v>
      </c>
      <c r="V11">
        <f t="shared" si="2"/>
        <v>0</v>
      </c>
    </row>
    <row r="12" spans="2:32" x14ac:dyDescent="0.25">
      <c r="B12" t="s">
        <v>2</v>
      </c>
      <c r="C12" s="2" t="s">
        <v>18</v>
      </c>
      <c r="D12">
        <v>30.03</v>
      </c>
      <c r="E12">
        <v>-28.06</v>
      </c>
      <c r="F12">
        <f t="shared" si="0"/>
        <v>1.9700000000000024</v>
      </c>
      <c r="G12" t="s">
        <v>8</v>
      </c>
      <c r="V12">
        <f t="shared" si="2"/>
        <v>0</v>
      </c>
    </row>
    <row r="13" spans="2:32" x14ac:dyDescent="0.25">
      <c r="B13" t="s">
        <v>2</v>
      </c>
      <c r="C13" s="2" t="s">
        <v>19</v>
      </c>
      <c r="D13">
        <v>30.04</v>
      </c>
      <c r="E13">
        <v>-24.08</v>
      </c>
      <c r="F13">
        <f t="shared" si="0"/>
        <v>5.9600000000000009</v>
      </c>
      <c r="G13" t="s">
        <v>8</v>
      </c>
      <c r="V13">
        <f t="shared" si="2"/>
        <v>0</v>
      </c>
    </row>
    <row r="14" spans="2:32" ht="45" x14ac:dyDescent="0.25">
      <c r="B14" t="s">
        <v>2</v>
      </c>
      <c r="C14" s="1" t="s">
        <v>21</v>
      </c>
      <c r="D14">
        <v>310.66000000000003</v>
      </c>
      <c r="E14">
        <v>-335.5</v>
      </c>
      <c r="F14">
        <f t="shared" si="0"/>
        <v>-24.839999999999975</v>
      </c>
      <c r="G14" t="s">
        <v>8</v>
      </c>
      <c r="V14">
        <f t="shared" si="2"/>
        <v>0</v>
      </c>
    </row>
    <row r="15" spans="2:32" x14ac:dyDescent="0.25">
      <c r="B15" t="s">
        <v>2</v>
      </c>
      <c r="C15" s="2" t="s">
        <v>20</v>
      </c>
      <c r="D15">
        <v>30.03</v>
      </c>
      <c r="E15">
        <v>-28.17</v>
      </c>
      <c r="F15">
        <f t="shared" si="0"/>
        <v>1.8599999999999994</v>
      </c>
      <c r="G15" t="s">
        <v>8</v>
      </c>
      <c r="V15">
        <f t="shared" si="2"/>
        <v>0</v>
      </c>
    </row>
    <row r="16" spans="2:32" x14ac:dyDescent="0.25">
      <c r="B16" t="s">
        <v>2</v>
      </c>
      <c r="C16" s="2"/>
    </row>
    <row r="17" spans="2:7" x14ac:dyDescent="0.25">
      <c r="B17" t="s">
        <v>2</v>
      </c>
      <c r="C17" s="2"/>
      <c r="F17">
        <f t="shared" si="0"/>
        <v>0</v>
      </c>
      <c r="G17" t="s">
        <v>8</v>
      </c>
    </row>
    <row r="18" spans="2:7" x14ac:dyDescent="0.25">
      <c r="B18" t="s">
        <v>2</v>
      </c>
      <c r="C18" s="2" t="s">
        <v>4</v>
      </c>
      <c r="D18">
        <v>429.75</v>
      </c>
      <c r="E18">
        <v>-428.38</v>
      </c>
      <c r="F18">
        <f t="shared" si="0"/>
        <v>1.3700000000000045</v>
      </c>
      <c r="G18" t="s">
        <v>11</v>
      </c>
    </row>
    <row r="19" spans="2:7" x14ac:dyDescent="0.25">
      <c r="B19" t="s">
        <v>2</v>
      </c>
      <c r="C19" s="2" t="s">
        <v>9</v>
      </c>
      <c r="D19">
        <v>415.28</v>
      </c>
      <c r="E19">
        <v>-427.16</v>
      </c>
      <c r="F19">
        <f t="shared" si="0"/>
        <v>-11.880000000000052</v>
      </c>
      <c r="G19" t="s">
        <v>11</v>
      </c>
    </row>
    <row r="20" spans="2:7" x14ac:dyDescent="0.25">
      <c r="B20" t="s">
        <v>2</v>
      </c>
      <c r="C20" s="2"/>
      <c r="F20">
        <f t="shared" si="0"/>
        <v>0</v>
      </c>
    </row>
    <row r="21" spans="2:7" x14ac:dyDescent="0.25">
      <c r="B21" t="s">
        <v>2</v>
      </c>
      <c r="C21" s="2"/>
      <c r="F21">
        <f t="shared" si="0"/>
        <v>0</v>
      </c>
    </row>
    <row r="22" spans="2:7" x14ac:dyDescent="0.25">
      <c r="C22" s="2"/>
      <c r="F22">
        <f t="shared" si="0"/>
        <v>0</v>
      </c>
    </row>
    <row r="23" spans="2:7" x14ac:dyDescent="0.25">
      <c r="F23">
        <f t="shared" si="0"/>
        <v>0</v>
      </c>
    </row>
    <row r="24" spans="2:7" x14ac:dyDescent="0.25">
      <c r="F24">
        <f t="shared" si="0"/>
        <v>0</v>
      </c>
    </row>
    <row r="25" spans="2:7" x14ac:dyDescent="0.25">
      <c r="F25">
        <f t="shared" si="0"/>
        <v>0</v>
      </c>
    </row>
    <row r="26" spans="2:7" x14ac:dyDescent="0.25">
      <c r="F26">
        <f t="shared" si="0"/>
        <v>0</v>
      </c>
    </row>
    <row r="27" spans="2:7" x14ac:dyDescent="0.25">
      <c r="F27">
        <f t="shared" si="0"/>
        <v>0</v>
      </c>
    </row>
    <row r="28" spans="2:7" x14ac:dyDescent="0.25">
      <c r="F28">
        <f t="shared" si="0"/>
        <v>0</v>
      </c>
    </row>
    <row r="29" spans="2:7" x14ac:dyDescent="0.25">
      <c r="F29">
        <f t="shared" si="0"/>
        <v>0</v>
      </c>
    </row>
    <row r="30" spans="2:7" x14ac:dyDescent="0.25">
      <c r="F30">
        <f t="shared" si="0"/>
        <v>0</v>
      </c>
    </row>
    <row r="31" spans="2:7" x14ac:dyDescent="0.25">
      <c r="F31">
        <f t="shared" si="0"/>
        <v>0</v>
      </c>
    </row>
    <row r="32" spans="2:7" x14ac:dyDescent="0.25">
      <c r="F32">
        <f t="shared" si="0"/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F1C0-CBCA-4520-930B-8BAA9B607E58}">
  <dimension ref="B2:Q8"/>
  <sheetViews>
    <sheetView workbookViewId="0">
      <selection activeCell="B3" sqref="B3:H5"/>
    </sheetView>
  </sheetViews>
  <sheetFormatPr defaultRowHeight="15" x14ac:dyDescent="0.25"/>
  <sheetData>
    <row r="2" spans="2:17" ht="15.75" thickBot="1" x14ac:dyDescent="0.3">
      <c r="C2" t="s">
        <v>27</v>
      </c>
    </row>
    <row r="3" spans="2:17" x14ac:dyDescent="0.25">
      <c r="B3" s="5" t="s">
        <v>1</v>
      </c>
      <c r="C3" s="6" t="s">
        <v>3</v>
      </c>
      <c r="D3" s="6" t="s">
        <v>5</v>
      </c>
      <c r="E3" s="6" t="s">
        <v>6</v>
      </c>
      <c r="F3" s="6" t="s">
        <v>7</v>
      </c>
      <c r="G3" s="6" t="s">
        <v>10</v>
      </c>
      <c r="H3" s="7" t="s">
        <v>23</v>
      </c>
      <c r="K3" s="5" t="s">
        <v>1</v>
      </c>
      <c r="L3" s="6" t="s">
        <v>3</v>
      </c>
      <c r="M3" s="6" t="s">
        <v>5</v>
      </c>
      <c r="N3" s="6" t="s">
        <v>6</v>
      </c>
      <c r="O3" s="6" t="s">
        <v>7</v>
      </c>
      <c r="P3" s="6" t="s">
        <v>10</v>
      </c>
      <c r="Q3" s="7" t="s">
        <v>23</v>
      </c>
    </row>
    <row r="4" spans="2:17" x14ac:dyDescent="0.25">
      <c r="B4" s="8" t="s">
        <v>2</v>
      </c>
      <c r="C4" s="3" t="s">
        <v>4</v>
      </c>
      <c r="F4" s="4">
        <f>D4+E4</f>
        <v>0</v>
      </c>
      <c r="G4" s="4" t="s">
        <v>8</v>
      </c>
      <c r="H4" s="9" t="s">
        <v>22</v>
      </c>
      <c r="K4" s="8" t="s">
        <v>2</v>
      </c>
      <c r="L4" s="3" t="s">
        <v>4</v>
      </c>
      <c r="O4">
        <f>M4+N4</f>
        <v>0</v>
      </c>
      <c r="Q4" t="s">
        <v>26</v>
      </c>
    </row>
    <row r="5" spans="2:17" x14ac:dyDescent="0.25">
      <c r="B5" s="8" t="s">
        <v>2</v>
      </c>
      <c r="C5" s="3" t="s">
        <v>9</v>
      </c>
      <c r="D5" s="4"/>
      <c r="E5" s="4"/>
      <c r="F5" s="4">
        <f t="shared" ref="F5:F8" si="0">D5+E5</f>
        <v>0</v>
      </c>
      <c r="G5" s="4" t="s">
        <v>8</v>
      </c>
      <c r="H5" s="9"/>
      <c r="K5" s="8" t="s">
        <v>2</v>
      </c>
      <c r="L5" s="3" t="s">
        <v>9</v>
      </c>
      <c r="O5">
        <f t="shared" ref="O5:O8" si="1">M5+N5</f>
        <v>0</v>
      </c>
    </row>
    <row r="6" spans="2:17" x14ac:dyDescent="0.25">
      <c r="B6" s="8" t="s">
        <v>2</v>
      </c>
      <c r="C6" s="3" t="s">
        <v>12</v>
      </c>
      <c r="D6" s="4">
        <v>5481.38</v>
      </c>
      <c r="E6" s="4">
        <v>-6062.66</v>
      </c>
      <c r="F6" s="4">
        <f t="shared" si="0"/>
        <v>-581.27999999999975</v>
      </c>
      <c r="G6" s="4" t="s">
        <v>8</v>
      </c>
      <c r="H6" s="9"/>
      <c r="K6" s="8" t="s">
        <v>2</v>
      </c>
      <c r="L6" s="3" t="s">
        <v>12</v>
      </c>
      <c r="M6">
        <v>5310.4</v>
      </c>
      <c r="N6">
        <v>-5904.63</v>
      </c>
      <c r="O6">
        <f t="shared" si="1"/>
        <v>-594.23000000000047</v>
      </c>
    </row>
    <row r="7" spans="2:17" x14ac:dyDescent="0.25">
      <c r="B7" s="8" t="s">
        <v>2</v>
      </c>
      <c r="C7" s="3" t="s">
        <v>13</v>
      </c>
      <c r="D7" s="4">
        <v>4503.45</v>
      </c>
      <c r="E7" s="4">
        <v>-5392.01</v>
      </c>
      <c r="F7" s="4">
        <f t="shared" si="0"/>
        <v>-888.5600000000004</v>
      </c>
      <c r="G7" s="4" t="s">
        <v>8</v>
      </c>
      <c r="H7" s="9"/>
      <c r="K7" s="8" t="s">
        <v>2</v>
      </c>
      <c r="L7" s="3" t="s">
        <v>13</v>
      </c>
      <c r="M7">
        <v>4554.2700000000004</v>
      </c>
      <c r="N7">
        <v>-5212.55</v>
      </c>
      <c r="O7">
        <f t="shared" si="1"/>
        <v>-658.27999999999975</v>
      </c>
    </row>
    <row r="8" spans="2:17" ht="15.75" thickBot="1" x14ac:dyDescent="0.3">
      <c r="B8" s="10" t="s">
        <v>2</v>
      </c>
      <c r="C8" s="11" t="s">
        <v>14</v>
      </c>
      <c r="D8" s="12">
        <v>4090.61</v>
      </c>
      <c r="E8" s="12">
        <v>-4328.34</v>
      </c>
      <c r="F8" s="4">
        <f t="shared" si="0"/>
        <v>-237.73000000000002</v>
      </c>
      <c r="G8" s="12" t="s">
        <v>8</v>
      </c>
      <c r="H8" s="13"/>
      <c r="K8" s="10" t="s">
        <v>2</v>
      </c>
      <c r="L8" s="11" t="s">
        <v>14</v>
      </c>
      <c r="M8">
        <v>4183.99</v>
      </c>
      <c r="N8">
        <v>-4215.3100000000004</v>
      </c>
      <c r="O8">
        <f t="shared" si="1"/>
        <v>-31.320000000000618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6EBA-6D7C-4F3B-A547-2FDE990A6590}">
  <dimension ref="C2:J13"/>
  <sheetViews>
    <sheetView tabSelected="1" topLeftCell="A2" workbookViewId="0">
      <selection activeCell="H6" sqref="H6"/>
    </sheetView>
  </sheetViews>
  <sheetFormatPr defaultRowHeight="15" x14ac:dyDescent="0.25"/>
  <cols>
    <col min="3" max="3" width="11" bestFit="1" customWidth="1"/>
    <col min="4" max="4" width="32" bestFit="1" customWidth="1"/>
  </cols>
  <sheetData>
    <row r="2" spans="3:10" ht="15.75" thickBot="1" x14ac:dyDescent="0.3"/>
    <row r="3" spans="3:10" x14ac:dyDescent="0.25">
      <c r="D3" s="5" t="s">
        <v>1</v>
      </c>
      <c r="E3" s="6" t="s">
        <v>3</v>
      </c>
      <c r="F3" s="6" t="s">
        <v>5</v>
      </c>
      <c r="G3" s="6" t="s">
        <v>6</v>
      </c>
      <c r="H3" s="6" t="s">
        <v>7</v>
      </c>
      <c r="I3" s="6" t="s">
        <v>10</v>
      </c>
      <c r="J3" s="7" t="s">
        <v>23</v>
      </c>
    </row>
    <row r="4" spans="3:10" x14ac:dyDescent="0.25">
      <c r="C4" t="s">
        <v>29</v>
      </c>
      <c r="D4" s="20" t="s">
        <v>28</v>
      </c>
      <c r="E4" s="3" t="s">
        <v>14</v>
      </c>
      <c r="F4">
        <v>17.059999999999999</v>
      </c>
      <c r="G4">
        <v>-2.93</v>
      </c>
      <c r="H4" s="4">
        <f>F4+G4</f>
        <v>14.129999999999999</v>
      </c>
      <c r="I4" s="4" t="s">
        <v>8</v>
      </c>
      <c r="J4" s="9"/>
    </row>
    <row r="5" spans="3:10" x14ac:dyDescent="0.25">
      <c r="C5" t="s">
        <v>29</v>
      </c>
      <c r="D5" s="20"/>
      <c r="E5" s="3" t="s">
        <v>16</v>
      </c>
      <c r="F5" s="4">
        <v>17.059999999999999</v>
      </c>
      <c r="G5" s="4">
        <v>-2.93</v>
      </c>
      <c r="H5" s="4">
        <f t="shared" ref="H5:H13" si="0">F5+G5</f>
        <v>14.129999999999999</v>
      </c>
      <c r="I5" s="4" t="s">
        <v>8</v>
      </c>
      <c r="J5" s="9"/>
    </row>
    <row r="6" spans="3:10" x14ac:dyDescent="0.25">
      <c r="C6" t="s">
        <v>29</v>
      </c>
      <c r="D6" s="18" t="s">
        <v>34</v>
      </c>
      <c r="E6" s="3" t="s">
        <v>14</v>
      </c>
      <c r="F6" s="4">
        <v>0.98</v>
      </c>
      <c r="G6" s="4">
        <v>-2.0099999999999998</v>
      </c>
      <c r="H6" s="4">
        <f t="shared" si="0"/>
        <v>-1.0299999999999998</v>
      </c>
      <c r="I6" s="4"/>
      <c r="J6" s="4"/>
    </row>
    <row r="7" spans="3:10" x14ac:dyDescent="0.25">
      <c r="C7" t="s">
        <v>29</v>
      </c>
      <c r="D7" s="19"/>
      <c r="E7" s="3" t="s">
        <v>16</v>
      </c>
      <c r="F7" s="4">
        <v>0</v>
      </c>
      <c r="G7" s="4">
        <v>-2.0099999999999998</v>
      </c>
      <c r="H7" s="4">
        <f t="shared" si="0"/>
        <v>-2.0099999999999998</v>
      </c>
      <c r="I7" s="4"/>
      <c r="J7" s="4"/>
    </row>
    <row r="8" spans="3:10" x14ac:dyDescent="0.25">
      <c r="D8" s="21" t="s">
        <v>32</v>
      </c>
      <c r="E8" s="3"/>
      <c r="F8" s="4"/>
      <c r="G8" s="4"/>
      <c r="H8" s="4"/>
      <c r="I8" s="4"/>
      <c r="J8" s="4"/>
    </row>
    <row r="9" spans="3:10" x14ac:dyDescent="0.25">
      <c r="D9" s="21"/>
      <c r="E9" s="3"/>
      <c r="F9" s="4"/>
      <c r="G9" s="4"/>
      <c r="H9" s="4"/>
      <c r="I9" s="4"/>
      <c r="J9" s="4"/>
    </row>
    <row r="10" spans="3:10" x14ac:dyDescent="0.25">
      <c r="C10" t="s">
        <v>30</v>
      </c>
      <c r="D10" s="20" t="s">
        <v>28</v>
      </c>
      <c r="E10" s="17" t="s">
        <v>14</v>
      </c>
      <c r="F10">
        <v>585</v>
      </c>
      <c r="G10">
        <v>-351.65</v>
      </c>
      <c r="H10" s="4">
        <f t="shared" si="0"/>
        <v>233.35000000000002</v>
      </c>
    </row>
    <row r="11" spans="3:10" x14ac:dyDescent="0.25">
      <c r="C11" t="s">
        <v>31</v>
      </c>
      <c r="D11" s="20"/>
      <c r="E11" t="s">
        <v>16</v>
      </c>
      <c r="F11">
        <v>585</v>
      </c>
      <c r="G11">
        <v>-351.65</v>
      </c>
      <c r="H11" s="4">
        <f t="shared" si="0"/>
        <v>233.35000000000002</v>
      </c>
    </row>
    <row r="12" spans="3:10" x14ac:dyDescent="0.25">
      <c r="C12" t="s">
        <v>31</v>
      </c>
      <c r="D12" s="16" t="s">
        <v>33</v>
      </c>
      <c r="E12" s="17" t="s">
        <v>14</v>
      </c>
      <c r="F12">
        <v>159.52000000000001</v>
      </c>
      <c r="G12">
        <v>-145.56</v>
      </c>
      <c r="H12" s="16">
        <f t="shared" si="0"/>
        <v>13.960000000000008</v>
      </c>
    </row>
    <row r="13" spans="3:10" x14ac:dyDescent="0.25">
      <c r="C13" t="s">
        <v>31</v>
      </c>
      <c r="D13" s="16" t="s">
        <v>33</v>
      </c>
      <c r="E13" s="17" t="s">
        <v>16</v>
      </c>
      <c r="F13">
        <v>65.08</v>
      </c>
      <c r="G13">
        <v>-60.58</v>
      </c>
      <c r="H13" s="16">
        <f t="shared" si="0"/>
        <v>4.5</v>
      </c>
    </row>
  </sheetData>
  <mergeCells count="4">
    <mergeCell ref="D6:D7"/>
    <mergeCell ref="D4:D5"/>
    <mergeCell ref="D10:D11"/>
    <mergeCell ref="D8:D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JAIRO SANABRIA SARMIENTO</dc:creator>
  <cp:lastModifiedBy>JOHN JAIRO SANABRIA SARMIENTO</cp:lastModifiedBy>
  <dcterms:created xsi:type="dcterms:W3CDTF">2021-04-05T13:56:50Z</dcterms:created>
  <dcterms:modified xsi:type="dcterms:W3CDTF">2021-04-13T11:57:19Z</dcterms:modified>
</cp:coreProperties>
</file>