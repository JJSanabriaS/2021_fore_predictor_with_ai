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activos\forex\fadlio-traders\github\mql\mql4\"/>
    </mc:Choice>
  </mc:AlternateContent>
  <xr:revisionPtr revIDLastSave="0" documentId="8_{CCD539DC-4FD2-48F7-AFAE-C407D44B5ADE}" xr6:coauthVersionLast="46" xr6:coauthVersionMax="46" xr10:uidLastSave="{00000000-0000-0000-0000-000000000000}"/>
  <bookViews>
    <workbookView xWindow="-120" yWindow="-120" windowWidth="20730" windowHeight="11160" xr2:uid="{05285A62-563D-4675-88B9-F028B7E55BD8}"/>
  </bookViews>
  <sheets>
    <sheet name="Planilha1" sheetId="1" r:id="rId1"/>
  </sheets>
  <definedNames>
    <definedName name="_xlnm._FilterDatabase" localSheetId="0" hidden="1">Planilha1!$E$8:$P$92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10" i="1"/>
  <c r="P90" i="1"/>
  <c r="P91" i="1"/>
  <c r="P92" i="1"/>
  <c r="P89" i="1"/>
  <c r="P88" i="1"/>
  <c r="P87" i="1"/>
  <c r="P86" i="1"/>
  <c r="P85" i="1"/>
  <c r="P82" i="1"/>
  <c r="P83" i="1"/>
  <c r="P84" i="1"/>
  <c r="P81" i="1"/>
  <c r="P71" i="1"/>
  <c r="P72" i="1"/>
  <c r="P73" i="1"/>
  <c r="P74" i="1"/>
  <c r="P75" i="1"/>
  <c r="P76" i="1"/>
  <c r="P77" i="1"/>
  <c r="P78" i="1"/>
  <c r="P79" i="1"/>
  <c r="P80" i="1"/>
  <c r="P66" i="1"/>
  <c r="P65" i="1"/>
  <c r="P63" i="1"/>
  <c r="P64" i="1"/>
  <c r="P70" i="1"/>
  <c r="P69" i="1"/>
  <c r="P68" i="1"/>
  <c r="P67" i="1"/>
  <c r="P62" i="1"/>
  <c r="P61" i="1"/>
  <c r="P60" i="1"/>
  <c r="P59" i="1"/>
  <c r="P58" i="1"/>
  <c r="P57" i="1"/>
  <c r="P56" i="1"/>
  <c r="P55" i="1"/>
  <c r="P54" i="1"/>
  <c r="P53" i="1"/>
  <c r="P29" i="1"/>
  <c r="P28" i="1"/>
  <c r="P27" i="1"/>
  <c r="P26" i="1"/>
  <c r="P25" i="1"/>
  <c r="P24" i="1"/>
  <c r="P35" i="1"/>
  <c r="P36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7" i="1"/>
  <c r="P38" i="1"/>
  <c r="P34" i="1"/>
  <c r="P33" i="1"/>
  <c r="P32" i="1"/>
  <c r="P31" i="1"/>
  <c r="P30" i="1"/>
  <c r="P23" i="1"/>
  <c r="P22" i="1"/>
  <c r="P21" i="1"/>
  <c r="P20" i="1"/>
  <c r="P19" i="1"/>
  <c r="P15" i="1"/>
  <c r="P18" i="1"/>
  <c r="P10" i="1"/>
  <c r="P11" i="1"/>
  <c r="P12" i="1"/>
  <c r="P13" i="1"/>
  <c r="P14" i="1"/>
  <c r="P16" i="1"/>
  <c r="P17" i="1"/>
  <c r="P9" i="1"/>
  <c r="G9" i="1"/>
</calcChain>
</file>

<file path=xl/sharedStrings.xml><?xml version="1.0" encoding="utf-8"?>
<sst xmlns="http://schemas.openxmlformats.org/spreadsheetml/2006/main" count="539" uniqueCount="50">
  <si>
    <t>1min_v1</t>
  </si>
  <si>
    <t>usdjpy</t>
  </si>
  <si>
    <t>minutos</t>
  </si>
  <si>
    <t>codigo</t>
  </si>
  <si>
    <t>moeda</t>
  </si>
  <si>
    <t>10/IV/20121</t>
  </si>
  <si>
    <t>14/IV/2021</t>
  </si>
  <si>
    <t>não</t>
  </si>
  <si>
    <t>optimizacao</t>
  </si>
  <si>
    <t>dados</t>
  </si>
  <si>
    <t>M1</t>
  </si>
  <si>
    <t>m1</t>
  </si>
  <si>
    <t>sim</t>
  </si>
  <si>
    <t>spread</t>
  </si>
  <si>
    <t>m15</t>
  </si>
  <si>
    <t>m30</t>
  </si>
  <si>
    <t>eurusd</t>
  </si>
  <si>
    <t>scalping</t>
  </si>
  <si>
    <t>smad</t>
  </si>
  <si>
    <t>14/III/20121</t>
  </si>
  <si>
    <t>13/III</t>
  </si>
  <si>
    <t>11/IV</t>
  </si>
  <si>
    <t xml:space="preserve">14/IV </t>
  </si>
  <si>
    <t>14/IV</t>
  </si>
  <si>
    <t>suspendido tiempo excesivo</t>
  </si>
  <si>
    <t>11/IV/20121</t>
  </si>
  <si>
    <t>09:10-10:31</t>
  </si>
  <si>
    <t>10:32-10:33</t>
  </si>
  <si>
    <t>10:37-10:38</t>
  </si>
  <si>
    <t>10:46-10:50</t>
  </si>
  <si>
    <t>10:50:10:51</t>
  </si>
  <si>
    <t>lucro-perda</t>
  </si>
  <si>
    <t>Tempo dados 
(dias)</t>
  </si>
  <si>
    <t>Periodo</t>
  </si>
  <si>
    <t>lucro 
bruto</t>
  </si>
  <si>
    <t>perda 
bruta</t>
  </si>
  <si>
    <t>audusd</t>
  </si>
  <si>
    <t>11:30:-11:31</t>
  </si>
  <si>
    <t>11:31:-11:32</t>
  </si>
  <si>
    <t>12:03:-12:07</t>
  </si>
  <si>
    <t>12:07:-</t>
  </si>
  <si>
    <t>[m30,2, perda menor 30 dias]</t>
  </si>
  <si>
    <t>[m1, 2, lucro 30 dias]</t>
  </si>
  <si>
    <t>[m1, 2, perda menor]</t>
  </si>
  <si>
    <t>[m15,10,perda menor]</t>
  </si>
  <si>
    <t>[m30,2,menor perda]</t>
  </si>
  <si>
    <t>[m30,2, lucro]</t>
  </si>
  <si>
    <t>Resumo</t>
  </si>
  <si>
    <t>audusd 
(30 dias)</t>
  </si>
  <si>
    <t>[periodo, spread,observac]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</si>
</sst>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/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20" fontId="0" fillId="0" borderId="0" xfId="0" applyNumberFormat="1"/>
    <xf numFmtId="43" fontId="0" fillId="0" borderId="0" xfId="1" applyFont="1"/>
    <xf numFmtId="43" fontId="0" fillId="2" borderId="0" xfId="1" applyFont="1" applyFill="1"/>
    <xf numFmtId="0" fontId="0" fillId="0" borderId="0" xfId="0" applyFill="1" applyBorder="1"/>
    <xf numFmtId="43" fontId="0" fillId="0" borderId="0" xfId="1" applyFont="1" applyFill="1" applyBorder="1"/>
    <xf numFmtId="0" fontId="0" fillId="0" borderId="3" xfId="0" applyBorder="1"/>
    <xf numFmtId="43" fontId="0" fillId="0" borderId="3" xfId="1" applyFont="1" applyBorder="1"/>
    <xf numFmtId="165" fontId="0" fillId="0" borderId="3" xfId="0" applyNumberFormat="1" applyBorder="1"/>
    <xf numFmtId="20" fontId="0" fillId="0" borderId="3" xfId="0" applyNumberFormat="1" applyBorder="1"/>
    <xf numFmtId="0" fontId="0" fillId="2" borderId="3" xfId="0" applyFill="1" applyBorder="1"/>
    <xf numFmtId="16" fontId="0" fillId="0" borderId="3" xfId="0" applyNumberFormat="1" applyBorder="1"/>
    <xf numFmtId="20" fontId="0" fillId="0" borderId="3" xfId="1" applyNumberFormat="1" applyFont="1" applyBorder="1"/>
    <xf numFmtId="43" fontId="0" fillId="2" borderId="3" xfId="1" applyFont="1" applyFill="1" applyBorder="1"/>
    <xf numFmtId="0" fontId="0" fillId="0" borderId="4" xfId="0" applyBorder="1"/>
    <xf numFmtId="20" fontId="0" fillId="0" borderId="4" xfId="0" applyNumberFormat="1" applyBorder="1"/>
    <xf numFmtId="43" fontId="0" fillId="0" borderId="4" xfId="1" applyFont="1" applyBorder="1"/>
    <xf numFmtId="43" fontId="0" fillId="2" borderId="4" xfId="1" applyFont="1" applyFill="1" applyBorder="1"/>
    <xf numFmtId="0" fontId="0" fillId="0" borderId="2" xfId="0" applyBorder="1"/>
    <xf numFmtId="20" fontId="0" fillId="0" borderId="2" xfId="0" applyNumberFormat="1" applyBorder="1"/>
    <xf numFmtId="43" fontId="0" fillId="0" borderId="2" xfId="1" applyFont="1" applyBorder="1"/>
    <xf numFmtId="0" fontId="0" fillId="0" borderId="1" xfId="0" applyBorder="1"/>
    <xf numFmtId="0" fontId="0" fillId="0" borderId="4" xfId="0" applyFill="1" applyBorder="1"/>
    <xf numFmtId="43" fontId="0" fillId="0" borderId="4" xfId="1" applyFont="1" applyFill="1" applyBorder="1"/>
    <xf numFmtId="0" fontId="0" fillId="0" borderId="2" xfId="0" applyFill="1" applyBorder="1"/>
    <xf numFmtId="43" fontId="0" fillId="0" borderId="2" xfId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0" fontId="0" fillId="0" borderId="3" xfId="0" applyFill="1" applyBorder="1"/>
    <xf numFmtId="43" fontId="0" fillId="0" borderId="3" xfId="1" applyFont="1" applyFill="1" applyBorder="1"/>
    <xf numFmtId="43" fontId="0" fillId="3" borderId="0" xfId="1" applyFont="1" applyFill="1"/>
    <xf numFmtId="0" fontId="0" fillId="3" borderId="3" xfId="0" applyFill="1" applyBorder="1"/>
    <xf numFmtId="43" fontId="0" fillId="3" borderId="3" xfId="1" applyFont="1" applyFill="1" applyBorder="1"/>
    <xf numFmtId="0" fontId="0" fillId="0" borderId="1" xfId="0" applyBorder="1" applyAlignment="1">
      <alignment horizontal="center" wrapText="1"/>
    </xf>
  </cellXfs>
  <cellStyles count="2">
    <cellStyle name="Normal" xfId="0" builtinId="0"/>
    <cellStyle name="Vírgula" xfId="1" builtinId="3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BD6D-9590-43D8-A62D-EB4C4809AC60}">
  <dimension ref="B1:Q95"/>
  <sheetViews>
    <sheetView tabSelected="1" workbookViewId="0">
      <selection activeCell="D8" sqref="D8"/>
    </sheetView>
  </sheetViews>
  <sheetFormatPr defaultRowHeight="15" x14ac:dyDescent="0.25"/>
  <cols>
    <col min="4" max="4" width="27.85546875" customWidth="1"/>
    <col min="5" max="5" width="8.42578125" bestFit="1" customWidth="1"/>
    <col min="6" max="6" width="7.140625" bestFit="1" customWidth="1"/>
    <col min="7" max="7" width="10.85546875" bestFit="1" customWidth="1"/>
    <col min="8" max="8" width="11.5703125" bestFit="1" customWidth="1"/>
    <col min="9" max="9" width="10.5703125" bestFit="1" customWidth="1"/>
    <col min="10" max="10" width="18.28515625" bestFit="1" customWidth="1"/>
    <col min="14" max="14" width="10.5703125" style="2" bestFit="1" customWidth="1"/>
    <col min="15" max="15" width="11.5703125" style="2" bestFit="1" customWidth="1"/>
    <col min="16" max="16" width="12.7109375" style="2" bestFit="1" customWidth="1"/>
  </cols>
  <sheetData>
    <row r="1" spans="2:17" x14ac:dyDescent="0.25">
      <c r="B1" s="21" t="s">
        <v>47</v>
      </c>
      <c r="C1" s="21" t="s">
        <v>3</v>
      </c>
      <c r="D1" s="21" t="s">
        <v>49</v>
      </c>
    </row>
    <row r="2" spans="2:17" x14ac:dyDescent="0.25">
      <c r="B2" s="37" t="s">
        <v>48</v>
      </c>
      <c r="C2" s="21" t="s">
        <v>18</v>
      </c>
      <c r="D2" s="21" t="s">
        <v>42</v>
      </c>
    </row>
    <row r="3" spans="2:17" x14ac:dyDescent="0.25">
      <c r="B3" s="26"/>
      <c r="C3" s="21" t="s">
        <v>0</v>
      </c>
      <c r="D3" s="21" t="s">
        <v>41</v>
      </c>
    </row>
    <row r="4" spans="2:17" x14ac:dyDescent="0.25">
      <c r="B4" s="26" t="s">
        <v>16</v>
      </c>
      <c r="C4" s="21" t="s">
        <v>18</v>
      </c>
      <c r="D4" s="21" t="s">
        <v>43</v>
      </c>
    </row>
    <row r="5" spans="2:17" x14ac:dyDescent="0.25">
      <c r="B5" s="26"/>
      <c r="C5" s="21" t="s">
        <v>0</v>
      </c>
      <c r="D5" s="21" t="s">
        <v>44</v>
      </c>
    </row>
    <row r="6" spans="2:17" x14ac:dyDescent="0.25">
      <c r="B6" s="26" t="s">
        <v>1</v>
      </c>
      <c r="C6" s="21" t="s">
        <v>18</v>
      </c>
      <c r="D6" s="21" t="s">
        <v>46</v>
      </c>
    </row>
    <row r="7" spans="2:17" x14ac:dyDescent="0.25">
      <c r="B7" s="26"/>
      <c r="C7" s="21" t="s">
        <v>0</v>
      </c>
      <c r="D7" s="21" t="s">
        <v>45</v>
      </c>
    </row>
    <row r="8" spans="2:17" ht="30" x14ac:dyDescent="0.25">
      <c r="E8" s="27" t="s">
        <v>3</v>
      </c>
      <c r="F8" s="27" t="s">
        <v>4</v>
      </c>
      <c r="G8" s="27" t="s">
        <v>2</v>
      </c>
      <c r="H8" s="28" t="s">
        <v>9</v>
      </c>
      <c r="I8" s="28"/>
      <c r="J8" s="29" t="s">
        <v>32</v>
      </c>
      <c r="K8" s="27" t="s">
        <v>33</v>
      </c>
      <c r="L8" s="27" t="s">
        <v>8</v>
      </c>
      <c r="M8" s="27" t="s">
        <v>13</v>
      </c>
      <c r="N8" s="31" t="s">
        <v>34</v>
      </c>
      <c r="O8" s="31" t="s">
        <v>35</v>
      </c>
      <c r="P8" s="30" t="s">
        <v>31</v>
      </c>
    </row>
    <row r="9" spans="2:17" x14ac:dyDescent="0.25">
      <c r="D9">
        <v>1</v>
      </c>
      <c r="E9" s="6" t="s">
        <v>0</v>
      </c>
      <c r="F9" s="6" t="s">
        <v>1</v>
      </c>
      <c r="G9" s="6">
        <f>13+48</f>
        <v>61</v>
      </c>
      <c r="H9" s="8">
        <v>44296</v>
      </c>
      <c r="I9" s="8" t="s">
        <v>23</v>
      </c>
      <c r="J9" s="7">
        <v>4</v>
      </c>
      <c r="K9" s="6" t="s">
        <v>10</v>
      </c>
      <c r="L9" s="6" t="s">
        <v>7</v>
      </c>
      <c r="M9" s="6">
        <v>30</v>
      </c>
      <c r="N9" s="6">
        <v>89.13</v>
      </c>
      <c r="O9" s="6">
        <v>-1673.15</v>
      </c>
      <c r="P9" s="7">
        <f>N9+O9</f>
        <v>-1584.02</v>
      </c>
    </row>
    <row r="10" spans="2:17" x14ac:dyDescent="0.25">
      <c r="D10">
        <f>D9+1</f>
        <v>2</v>
      </c>
      <c r="E10" s="6" t="s">
        <v>0</v>
      </c>
      <c r="F10" s="6" t="s">
        <v>1</v>
      </c>
      <c r="G10" s="6">
        <v>3</v>
      </c>
      <c r="H10" s="6" t="s">
        <v>5</v>
      </c>
      <c r="I10" s="6" t="s">
        <v>6</v>
      </c>
      <c r="J10" s="7">
        <v>4</v>
      </c>
      <c r="K10" s="6" t="s">
        <v>11</v>
      </c>
      <c r="L10" s="6" t="s">
        <v>12</v>
      </c>
      <c r="M10" s="6">
        <v>30</v>
      </c>
      <c r="N10" s="6">
        <v>89.13</v>
      </c>
      <c r="O10" s="6">
        <v>-1673.15</v>
      </c>
      <c r="P10" s="7">
        <f t="shared" ref="P10:P38" si="0">N10+O10</f>
        <v>-1584.02</v>
      </c>
    </row>
    <row r="11" spans="2:17" x14ac:dyDescent="0.25">
      <c r="D11">
        <f t="shared" ref="D11:D74" si="1">D10+1</f>
        <v>3</v>
      </c>
      <c r="E11" s="6" t="s">
        <v>0</v>
      </c>
      <c r="F11" s="6" t="s">
        <v>1</v>
      </c>
      <c r="G11" s="6">
        <v>3</v>
      </c>
      <c r="H11" s="6" t="s">
        <v>5</v>
      </c>
      <c r="I11" s="6" t="s">
        <v>6</v>
      </c>
      <c r="J11" s="7">
        <v>4</v>
      </c>
      <c r="K11" s="6" t="s">
        <v>14</v>
      </c>
      <c r="L11" s="6" t="s">
        <v>12</v>
      </c>
      <c r="M11" s="6">
        <v>30</v>
      </c>
      <c r="N11" s="6">
        <v>89.13</v>
      </c>
      <c r="O11" s="6">
        <v>-1673.15</v>
      </c>
      <c r="P11" s="6">
        <f t="shared" si="0"/>
        <v>-1584.02</v>
      </c>
    </row>
    <row r="12" spans="2:17" x14ac:dyDescent="0.25">
      <c r="D12">
        <f t="shared" si="1"/>
        <v>4</v>
      </c>
      <c r="E12" s="6" t="s">
        <v>0</v>
      </c>
      <c r="F12" s="6" t="s">
        <v>1</v>
      </c>
      <c r="G12" s="6">
        <v>16</v>
      </c>
      <c r="H12" s="6" t="s">
        <v>5</v>
      </c>
      <c r="I12" s="6" t="s">
        <v>6</v>
      </c>
      <c r="J12" s="7">
        <v>4</v>
      </c>
      <c r="K12" s="6" t="s">
        <v>15</v>
      </c>
      <c r="L12" s="6" t="s">
        <v>12</v>
      </c>
      <c r="M12" s="6">
        <v>30</v>
      </c>
      <c r="N12" s="6">
        <v>89.13</v>
      </c>
      <c r="O12" s="6">
        <v>-1673.15</v>
      </c>
      <c r="P12" s="6">
        <f t="shared" si="0"/>
        <v>-1584.02</v>
      </c>
      <c r="Q12" s="1">
        <v>0.54861111111111105</v>
      </c>
    </row>
    <row r="13" spans="2:17" x14ac:dyDescent="0.25">
      <c r="D13">
        <f t="shared" si="1"/>
        <v>5</v>
      </c>
      <c r="E13" s="6" t="s">
        <v>0</v>
      </c>
      <c r="F13" s="6" t="s">
        <v>16</v>
      </c>
      <c r="G13" s="9">
        <v>0.56041666666666667</v>
      </c>
      <c r="H13" s="6" t="s">
        <v>5</v>
      </c>
      <c r="I13" s="6" t="s">
        <v>6</v>
      </c>
      <c r="J13" s="7">
        <v>4</v>
      </c>
      <c r="K13" s="6" t="s">
        <v>11</v>
      </c>
      <c r="L13" s="6" t="s">
        <v>12</v>
      </c>
      <c r="M13" s="6">
        <v>30</v>
      </c>
      <c r="N13" s="6">
        <v>89.13</v>
      </c>
      <c r="O13" s="6">
        <v>-1673.15</v>
      </c>
      <c r="P13" s="6">
        <f t="shared" si="0"/>
        <v>-1584.02</v>
      </c>
    </row>
    <row r="14" spans="2:17" x14ac:dyDescent="0.25">
      <c r="D14">
        <f t="shared" si="1"/>
        <v>6</v>
      </c>
      <c r="E14" s="6" t="s">
        <v>0</v>
      </c>
      <c r="F14" s="6" t="s">
        <v>16</v>
      </c>
      <c r="G14" s="9">
        <v>0.56041666666666667</v>
      </c>
      <c r="H14" s="6" t="s">
        <v>5</v>
      </c>
      <c r="I14" s="6" t="s">
        <v>6</v>
      </c>
      <c r="J14" s="7">
        <v>4</v>
      </c>
      <c r="K14" s="6" t="s">
        <v>14</v>
      </c>
      <c r="L14" s="6" t="s">
        <v>7</v>
      </c>
      <c r="M14" s="6">
        <v>10</v>
      </c>
      <c r="N14" s="6">
        <v>104.36</v>
      </c>
      <c r="O14" s="6">
        <v>-288.39999999999998</v>
      </c>
      <c r="P14" s="10">
        <f t="shared" si="0"/>
        <v>-184.03999999999996</v>
      </c>
    </row>
    <row r="15" spans="2:17" x14ac:dyDescent="0.25">
      <c r="D15">
        <f t="shared" si="1"/>
        <v>7</v>
      </c>
      <c r="E15" s="6" t="s">
        <v>0</v>
      </c>
      <c r="F15" s="6" t="s">
        <v>16</v>
      </c>
      <c r="G15" s="9">
        <v>0.5708333333333333</v>
      </c>
      <c r="H15" s="6" t="s">
        <v>5</v>
      </c>
      <c r="I15" s="6" t="s">
        <v>6</v>
      </c>
      <c r="J15" s="7">
        <v>4</v>
      </c>
      <c r="K15" s="6" t="s">
        <v>14</v>
      </c>
      <c r="L15" s="6" t="s">
        <v>7</v>
      </c>
      <c r="M15" s="6">
        <v>100</v>
      </c>
      <c r="N15" s="6">
        <v>11</v>
      </c>
      <c r="O15" s="6">
        <v>-503.04</v>
      </c>
      <c r="P15" s="6">
        <f>N15+O15</f>
        <v>-492.04</v>
      </c>
    </row>
    <row r="16" spans="2:17" x14ac:dyDescent="0.25">
      <c r="D16">
        <f t="shared" si="1"/>
        <v>8</v>
      </c>
      <c r="E16" s="6" t="s">
        <v>0</v>
      </c>
      <c r="F16" s="6" t="s">
        <v>16</v>
      </c>
      <c r="G16" s="9">
        <v>0.56041666666666667</v>
      </c>
      <c r="H16" s="6" t="s">
        <v>5</v>
      </c>
      <c r="I16" s="6" t="s">
        <v>6</v>
      </c>
      <c r="J16" s="7">
        <v>4</v>
      </c>
      <c r="K16" s="35" t="s">
        <v>15</v>
      </c>
      <c r="L16" s="6" t="s">
        <v>7</v>
      </c>
      <c r="M16" s="35">
        <v>10</v>
      </c>
      <c r="N16" s="6">
        <v>66</v>
      </c>
      <c r="O16" s="6">
        <v>-200.67</v>
      </c>
      <c r="P16" s="10">
        <f t="shared" si="0"/>
        <v>-134.66999999999999</v>
      </c>
    </row>
    <row r="17" spans="4:16" x14ac:dyDescent="0.25">
      <c r="D17">
        <f t="shared" si="1"/>
        <v>9</v>
      </c>
      <c r="E17" s="6" t="s">
        <v>0</v>
      </c>
      <c r="F17" s="6" t="s">
        <v>16</v>
      </c>
      <c r="G17" s="9">
        <v>0.56874999999999998</v>
      </c>
      <c r="H17" s="6" t="s">
        <v>5</v>
      </c>
      <c r="I17" s="6" t="s">
        <v>6</v>
      </c>
      <c r="J17" s="7">
        <v>4</v>
      </c>
      <c r="K17" s="6" t="s">
        <v>15</v>
      </c>
      <c r="L17" s="6" t="s">
        <v>7</v>
      </c>
      <c r="M17" s="6">
        <v>50</v>
      </c>
      <c r="N17" s="6">
        <v>20</v>
      </c>
      <c r="O17" s="6">
        <v>-250.57</v>
      </c>
      <c r="P17" s="10">
        <f t="shared" si="0"/>
        <v>-230.57</v>
      </c>
    </row>
    <row r="18" spans="4:16" x14ac:dyDescent="0.25">
      <c r="D18">
        <f t="shared" si="1"/>
        <v>10</v>
      </c>
      <c r="E18" s="6" t="s">
        <v>0</v>
      </c>
      <c r="F18" s="6" t="s">
        <v>16</v>
      </c>
      <c r="G18" s="9">
        <v>0.56874999999999998</v>
      </c>
      <c r="H18" s="6" t="s">
        <v>5</v>
      </c>
      <c r="I18" s="6" t="s">
        <v>6</v>
      </c>
      <c r="J18" s="7">
        <v>4</v>
      </c>
      <c r="K18" s="6" t="s">
        <v>15</v>
      </c>
      <c r="L18" s="6" t="s">
        <v>7</v>
      </c>
      <c r="M18" s="6">
        <v>100</v>
      </c>
      <c r="N18" s="6">
        <v>8</v>
      </c>
      <c r="O18" s="6">
        <v>-297.97000000000003</v>
      </c>
      <c r="P18" s="6">
        <f t="shared" si="0"/>
        <v>-289.97000000000003</v>
      </c>
    </row>
    <row r="19" spans="4:16" x14ac:dyDescent="0.25">
      <c r="D19">
        <f t="shared" si="1"/>
        <v>11</v>
      </c>
      <c r="E19" s="6" t="s">
        <v>0</v>
      </c>
      <c r="F19" s="6" t="s">
        <v>16</v>
      </c>
      <c r="G19" s="7">
        <v>2</v>
      </c>
      <c r="H19" s="11">
        <v>44269</v>
      </c>
      <c r="I19" s="11">
        <v>44300</v>
      </c>
      <c r="J19" s="7">
        <v>30</v>
      </c>
      <c r="K19" s="6" t="s">
        <v>14</v>
      </c>
      <c r="L19" s="6" t="s">
        <v>7</v>
      </c>
      <c r="M19" s="6">
        <v>2</v>
      </c>
      <c r="N19" s="6">
        <v>2101.14</v>
      </c>
      <c r="O19" s="6">
        <v>-2891.61</v>
      </c>
      <c r="P19" s="6">
        <f t="shared" si="0"/>
        <v>-790.47000000000025</v>
      </c>
    </row>
    <row r="20" spans="4:16" x14ac:dyDescent="0.25">
      <c r="D20">
        <f t="shared" si="1"/>
        <v>12</v>
      </c>
      <c r="E20" s="6" t="s">
        <v>0</v>
      </c>
      <c r="F20" s="6" t="s">
        <v>16</v>
      </c>
      <c r="G20" s="7">
        <v>2</v>
      </c>
      <c r="H20" s="11">
        <v>44269</v>
      </c>
      <c r="I20" s="11">
        <v>44300</v>
      </c>
      <c r="J20" s="7">
        <v>30</v>
      </c>
      <c r="K20" s="6" t="s">
        <v>14</v>
      </c>
      <c r="L20" s="6" t="s">
        <v>7</v>
      </c>
      <c r="M20" s="6">
        <v>30</v>
      </c>
      <c r="N20" s="6">
        <v>560.59</v>
      </c>
      <c r="O20" s="6">
        <v>-3485.45</v>
      </c>
      <c r="P20" s="6">
        <f t="shared" si="0"/>
        <v>-2924.8599999999997</v>
      </c>
    </row>
    <row r="21" spans="4:16" x14ac:dyDescent="0.25">
      <c r="D21">
        <f t="shared" si="1"/>
        <v>13</v>
      </c>
      <c r="E21" s="6" t="s">
        <v>0</v>
      </c>
      <c r="F21" s="6" t="s">
        <v>16</v>
      </c>
      <c r="G21" s="7">
        <v>2</v>
      </c>
      <c r="H21" s="11">
        <v>44269</v>
      </c>
      <c r="I21" s="11">
        <v>44300</v>
      </c>
      <c r="J21" s="7">
        <v>30</v>
      </c>
      <c r="K21" s="6" t="s">
        <v>14</v>
      </c>
      <c r="L21" s="6" t="s">
        <v>7</v>
      </c>
      <c r="M21" s="6">
        <v>10</v>
      </c>
      <c r="N21" s="6">
        <v>1220.44</v>
      </c>
      <c r="O21" s="6">
        <v>-3031</v>
      </c>
      <c r="P21" s="6">
        <f t="shared" si="0"/>
        <v>-1810.56</v>
      </c>
    </row>
    <row r="22" spans="4:16" x14ac:dyDescent="0.25">
      <c r="D22">
        <f t="shared" si="1"/>
        <v>14</v>
      </c>
      <c r="E22" s="6" t="s">
        <v>0</v>
      </c>
      <c r="F22" s="6" t="s">
        <v>16</v>
      </c>
      <c r="G22" s="7">
        <v>2</v>
      </c>
      <c r="H22" s="11">
        <v>44269</v>
      </c>
      <c r="I22" s="11">
        <v>44300</v>
      </c>
      <c r="J22" s="7"/>
      <c r="K22" s="6" t="s">
        <v>14</v>
      </c>
      <c r="L22" s="6" t="s">
        <v>12</v>
      </c>
      <c r="M22" s="6">
        <v>10</v>
      </c>
      <c r="N22" s="6">
        <v>1220.44</v>
      </c>
      <c r="O22" s="6">
        <v>-3031.1</v>
      </c>
      <c r="P22" s="6">
        <f t="shared" si="0"/>
        <v>-1810.6599999999999</v>
      </c>
    </row>
    <row r="23" spans="4:16" x14ac:dyDescent="0.25">
      <c r="D23">
        <f t="shared" si="1"/>
        <v>15</v>
      </c>
      <c r="E23" s="6" t="s">
        <v>17</v>
      </c>
      <c r="F23" s="6"/>
      <c r="G23" s="9">
        <v>0.58750000000000002</v>
      </c>
      <c r="H23" s="6"/>
      <c r="I23" s="6"/>
      <c r="J23" s="7"/>
      <c r="K23" s="6" t="s">
        <v>15</v>
      </c>
      <c r="L23" s="6" t="s">
        <v>7</v>
      </c>
      <c r="M23" s="6">
        <v>10</v>
      </c>
      <c r="N23" s="6">
        <v>0</v>
      </c>
      <c r="O23" s="6">
        <v>0</v>
      </c>
      <c r="P23" s="6">
        <f t="shared" si="0"/>
        <v>0</v>
      </c>
    </row>
    <row r="24" spans="4:16" x14ac:dyDescent="0.25">
      <c r="D24">
        <f t="shared" si="1"/>
        <v>16</v>
      </c>
      <c r="E24" s="6" t="s">
        <v>18</v>
      </c>
      <c r="F24" s="6" t="s">
        <v>1</v>
      </c>
      <c r="G24" s="12" t="s">
        <v>26</v>
      </c>
      <c r="H24" s="6" t="s">
        <v>25</v>
      </c>
      <c r="I24" s="6" t="s">
        <v>6</v>
      </c>
      <c r="J24" s="7">
        <v>3</v>
      </c>
      <c r="K24" s="6" t="s">
        <v>11</v>
      </c>
      <c r="L24" s="6" t="s">
        <v>7</v>
      </c>
      <c r="M24" s="6">
        <v>2</v>
      </c>
      <c r="N24" s="6">
        <v>595.58000000000004</v>
      </c>
      <c r="O24" s="6">
        <v>-120.72</v>
      </c>
      <c r="P24" s="35">
        <f t="shared" si="0"/>
        <v>474.86</v>
      </c>
    </row>
    <row r="25" spans="4:16" x14ac:dyDescent="0.25">
      <c r="D25">
        <f t="shared" si="1"/>
        <v>17</v>
      </c>
      <c r="E25" s="6" t="s">
        <v>18</v>
      </c>
      <c r="F25" s="6" t="s">
        <v>1</v>
      </c>
      <c r="G25" s="12" t="s">
        <v>27</v>
      </c>
      <c r="H25" s="6" t="s">
        <v>25</v>
      </c>
      <c r="I25" s="6" t="s">
        <v>6</v>
      </c>
      <c r="J25" s="7">
        <v>3</v>
      </c>
      <c r="K25" s="6" t="s">
        <v>11</v>
      </c>
      <c r="L25" s="6" t="s">
        <v>12</v>
      </c>
      <c r="M25" s="6">
        <v>2</v>
      </c>
      <c r="N25" s="6">
        <v>595.58000000000004</v>
      </c>
      <c r="O25" s="6">
        <v>-120.72</v>
      </c>
      <c r="P25" s="35">
        <f t="shared" si="0"/>
        <v>474.86</v>
      </c>
    </row>
    <row r="26" spans="4:16" x14ac:dyDescent="0.25">
      <c r="D26">
        <f t="shared" si="1"/>
        <v>18</v>
      </c>
      <c r="E26" s="6" t="s">
        <v>18</v>
      </c>
      <c r="F26" s="6" t="s">
        <v>1</v>
      </c>
      <c r="G26" s="12">
        <v>0.44097222222222227</v>
      </c>
      <c r="H26" s="6" t="s">
        <v>25</v>
      </c>
      <c r="I26" s="6" t="s">
        <v>6</v>
      </c>
      <c r="J26" s="7">
        <v>3</v>
      </c>
      <c r="K26" s="6" t="s">
        <v>11</v>
      </c>
      <c r="L26" s="6" t="s">
        <v>7</v>
      </c>
      <c r="M26" s="6">
        <v>10</v>
      </c>
      <c r="N26" s="6">
        <v>595.55999999999995</v>
      </c>
      <c r="O26" s="6">
        <v>-211.5</v>
      </c>
      <c r="P26" s="35">
        <f t="shared" si="0"/>
        <v>384.05999999999995</v>
      </c>
    </row>
    <row r="27" spans="4:16" x14ac:dyDescent="0.25">
      <c r="D27">
        <f t="shared" si="1"/>
        <v>19</v>
      </c>
      <c r="E27" s="6" t="s">
        <v>18</v>
      </c>
      <c r="F27" s="6" t="s">
        <v>1</v>
      </c>
      <c r="G27" s="12">
        <v>0.44166666666666665</v>
      </c>
      <c r="H27" s="6" t="s">
        <v>25</v>
      </c>
      <c r="I27" s="6" t="s">
        <v>6</v>
      </c>
      <c r="J27" s="7">
        <v>3</v>
      </c>
      <c r="K27" s="6" t="s">
        <v>11</v>
      </c>
      <c r="L27" s="6" t="s">
        <v>12</v>
      </c>
      <c r="M27" s="6">
        <v>10</v>
      </c>
      <c r="N27" s="6">
        <v>595.55999999999995</v>
      </c>
      <c r="O27" s="6">
        <v>-211.5</v>
      </c>
      <c r="P27" s="35">
        <f t="shared" si="0"/>
        <v>384.05999999999995</v>
      </c>
    </row>
    <row r="28" spans="4:16" x14ac:dyDescent="0.25">
      <c r="D28">
        <f t="shared" si="1"/>
        <v>20</v>
      </c>
      <c r="E28" s="6" t="s">
        <v>18</v>
      </c>
      <c r="F28" s="6" t="s">
        <v>1</v>
      </c>
      <c r="G28" s="12">
        <v>0.44236111111111115</v>
      </c>
      <c r="H28" s="6" t="s">
        <v>25</v>
      </c>
      <c r="I28" s="6" t="s">
        <v>6</v>
      </c>
      <c r="J28" s="7">
        <v>3</v>
      </c>
      <c r="K28" s="6" t="s">
        <v>11</v>
      </c>
      <c r="L28" s="6" t="s">
        <v>12</v>
      </c>
      <c r="M28" s="6">
        <v>30</v>
      </c>
      <c r="N28" s="6">
        <v>595.55999999999995</v>
      </c>
      <c r="O28" s="6">
        <v>-211.5</v>
      </c>
      <c r="P28" s="35">
        <f t="shared" si="0"/>
        <v>384.05999999999995</v>
      </c>
    </row>
    <row r="29" spans="4:16" x14ac:dyDescent="0.25">
      <c r="D29">
        <f t="shared" si="1"/>
        <v>21</v>
      </c>
      <c r="E29" s="6" t="s">
        <v>18</v>
      </c>
      <c r="F29" s="6" t="s">
        <v>1</v>
      </c>
      <c r="G29" s="12" t="s">
        <v>28</v>
      </c>
      <c r="H29" s="6" t="s">
        <v>25</v>
      </c>
      <c r="I29" s="6" t="s">
        <v>6</v>
      </c>
      <c r="J29" s="7">
        <v>3</v>
      </c>
      <c r="K29" s="6" t="s">
        <v>11</v>
      </c>
      <c r="L29" s="6" t="s">
        <v>7</v>
      </c>
      <c r="M29" s="6">
        <v>30</v>
      </c>
      <c r="N29" s="6">
        <v>433.73</v>
      </c>
      <c r="O29" s="6">
        <v>-649.71</v>
      </c>
      <c r="P29" s="6">
        <f t="shared" si="0"/>
        <v>-215.98000000000002</v>
      </c>
    </row>
    <row r="30" spans="4:16" x14ac:dyDescent="0.25">
      <c r="D30">
        <f t="shared" si="1"/>
        <v>22</v>
      </c>
      <c r="E30" s="6" t="s">
        <v>18</v>
      </c>
      <c r="F30" s="6" t="s">
        <v>1</v>
      </c>
      <c r="G30" s="7">
        <v>2</v>
      </c>
      <c r="H30" s="6" t="s">
        <v>5</v>
      </c>
      <c r="I30" s="6" t="s">
        <v>6</v>
      </c>
      <c r="J30" s="7">
        <v>4</v>
      </c>
      <c r="K30" s="6" t="s">
        <v>15</v>
      </c>
      <c r="L30" s="6" t="s">
        <v>7</v>
      </c>
      <c r="M30" s="6">
        <v>10</v>
      </c>
      <c r="N30" s="7">
        <v>72.959999999999994</v>
      </c>
      <c r="O30" s="7">
        <v>0</v>
      </c>
      <c r="P30" s="7">
        <f t="shared" si="0"/>
        <v>72.959999999999994</v>
      </c>
    </row>
    <row r="31" spans="4:16" x14ac:dyDescent="0.25">
      <c r="D31">
        <f t="shared" si="1"/>
        <v>23</v>
      </c>
      <c r="E31" s="6" t="s">
        <v>18</v>
      </c>
      <c r="F31" s="6" t="s">
        <v>1</v>
      </c>
      <c r="G31" s="7">
        <v>2</v>
      </c>
      <c r="H31" s="6" t="s">
        <v>19</v>
      </c>
      <c r="I31" s="6" t="s">
        <v>6</v>
      </c>
      <c r="J31" s="7">
        <v>30</v>
      </c>
      <c r="K31" s="6" t="s">
        <v>15</v>
      </c>
      <c r="L31" s="6" t="s">
        <v>7</v>
      </c>
      <c r="M31" s="6">
        <v>10</v>
      </c>
      <c r="N31" s="7">
        <v>292.85000000000002</v>
      </c>
      <c r="O31" s="7">
        <v>-100.68</v>
      </c>
      <c r="P31" s="36">
        <f t="shared" si="0"/>
        <v>192.17000000000002</v>
      </c>
    </row>
    <row r="32" spans="4:16" x14ac:dyDescent="0.25">
      <c r="D32">
        <f t="shared" si="1"/>
        <v>24</v>
      </c>
      <c r="E32" s="6" t="s">
        <v>18</v>
      </c>
      <c r="F32" s="6" t="s">
        <v>1</v>
      </c>
      <c r="G32" s="7">
        <v>2</v>
      </c>
      <c r="H32" s="6" t="s">
        <v>19</v>
      </c>
      <c r="I32" s="6" t="s">
        <v>6</v>
      </c>
      <c r="J32" s="7">
        <v>30</v>
      </c>
      <c r="K32" s="6" t="s">
        <v>11</v>
      </c>
      <c r="L32" s="6" t="s">
        <v>7</v>
      </c>
      <c r="M32" s="6">
        <v>10</v>
      </c>
      <c r="N32" s="7">
        <v>4343.95</v>
      </c>
      <c r="O32" s="7">
        <v>-6469.78</v>
      </c>
      <c r="P32" s="7">
        <f t="shared" si="0"/>
        <v>-2125.83</v>
      </c>
    </row>
    <row r="33" spans="4:17" x14ac:dyDescent="0.25">
      <c r="D33">
        <f t="shared" si="1"/>
        <v>25</v>
      </c>
      <c r="E33" s="6" t="s">
        <v>18</v>
      </c>
      <c r="F33" s="6" t="s">
        <v>1</v>
      </c>
      <c r="G33" s="7">
        <v>2</v>
      </c>
      <c r="H33" s="6" t="s">
        <v>19</v>
      </c>
      <c r="I33" s="6" t="s">
        <v>6</v>
      </c>
      <c r="J33" s="7">
        <v>30</v>
      </c>
      <c r="K33" s="6" t="s">
        <v>11</v>
      </c>
      <c r="L33" s="6" t="s">
        <v>7</v>
      </c>
      <c r="M33" s="6">
        <v>100</v>
      </c>
      <c r="N33" s="7">
        <v>397.09</v>
      </c>
      <c r="O33" s="7">
        <v>-10260.57</v>
      </c>
      <c r="P33" s="7">
        <f t="shared" si="0"/>
        <v>-9863.48</v>
      </c>
    </row>
    <row r="34" spans="4:17" x14ac:dyDescent="0.25">
      <c r="D34">
        <f t="shared" si="1"/>
        <v>26</v>
      </c>
      <c r="E34" s="6" t="s">
        <v>18</v>
      </c>
      <c r="F34" s="6" t="s">
        <v>1</v>
      </c>
      <c r="G34" s="7">
        <v>2</v>
      </c>
      <c r="H34" s="6" t="s">
        <v>19</v>
      </c>
      <c r="I34" s="6" t="s">
        <v>6</v>
      </c>
      <c r="J34" s="7">
        <v>30</v>
      </c>
      <c r="K34" s="6" t="s">
        <v>15</v>
      </c>
      <c r="L34" s="6" t="s">
        <v>7</v>
      </c>
      <c r="M34" s="6">
        <v>10</v>
      </c>
      <c r="N34" s="7">
        <v>0</v>
      </c>
      <c r="O34" s="7">
        <v>0</v>
      </c>
      <c r="P34" s="7">
        <f t="shared" si="0"/>
        <v>0</v>
      </c>
    </row>
    <row r="35" spans="4:17" x14ac:dyDescent="0.25">
      <c r="D35">
        <f t="shared" si="1"/>
        <v>27</v>
      </c>
      <c r="E35" s="6" t="s">
        <v>18</v>
      </c>
      <c r="F35" s="6" t="s">
        <v>1</v>
      </c>
      <c r="G35" s="12"/>
      <c r="H35" s="6" t="s">
        <v>20</v>
      </c>
      <c r="I35" s="6" t="s">
        <v>21</v>
      </c>
      <c r="J35" s="7">
        <v>31</v>
      </c>
      <c r="K35" s="6" t="s">
        <v>11</v>
      </c>
      <c r="L35" s="6" t="s">
        <v>12</v>
      </c>
      <c r="M35" s="6">
        <v>2</v>
      </c>
      <c r="N35" s="7"/>
      <c r="O35" s="7"/>
      <c r="P35" s="7">
        <f t="shared" si="0"/>
        <v>0</v>
      </c>
      <c r="Q35" t="s">
        <v>24</v>
      </c>
    </row>
    <row r="36" spans="4:17" x14ac:dyDescent="0.25">
      <c r="D36">
        <f t="shared" si="1"/>
        <v>28</v>
      </c>
      <c r="E36" s="6" t="s">
        <v>18</v>
      </c>
      <c r="F36" s="6" t="s">
        <v>1</v>
      </c>
      <c r="G36" s="7"/>
      <c r="H36" s="6" t="s">
        <v>20</v>
      </c>
      <c r="I36" s="6" t="s">
        <v>22</v>
      </c>
      <c r="J36" s="7">
        <v>31</v>
      </c>
      <c r="K36" s="6" t="s">
        <v>11</v>
      </c>
      <c r="L36" s="6" t="s">
        <v>7</v>
      </c>
      <c r="M36" s="6">
        <v>2</v>
      </c>
      <c r="N36" s="7"/>
      <c r="O36" s="7"/>
      <c r="P36" s="7">
        <f t="shared" si="0"/>
        <v>0</v>
      </c>
    </row>
    <row r="37" spans="4:17" x14ac:dyDescent="0.25">
      <c r="D37">
        <f t="shared" si="1"/>
        <v>29</v>
      </c>
      <c r="E37" s="6" t="s">
        <v>18</v>
      </c>
      <c r="F37" s="6" t="s">
        <v>1</v>
      </c>
      <c r="G37" s="7">
        <v>2</v>
      </c>
      <c r="H37" s="6" t="s">
        <v>20</v>
      </c>
      <c r="I37" s="6" t="s">
        <v>21</v>
      </c>
      <c r="J37" s="7">
        <v>31</v>
      </c>
      <c r="K37" s="6" t="s">
        <v>11</v>
      </c>
      <c r="L37" s="6" t="s">
        <v>12</v>
      </c>
      <c r="M37" s="6">
        <v>10</v>
      </c>
      <c r="N37" s="7">
        <v>73.349999999999994</v>
      </c>
      <c r="O37" s="7">
        <v>0</v>
      </c>
      <c r="P37" s="36">
        <f t="shared" si="0"/>
        <v>73.349999999999994</v>
      </c>
    </row>
    <row r="38" spans="4:17" x14ac:dyDescent="0.25">
      <c r="D38">
        <f t="shared" si="1"/>
        <v>30</v>
      </c>
      <c r="E38" s="6" t="s">
        <v>18</v>
      </c>
      <c r="F38" s="6" t="s">
        <v>1</v>
      </c>
      <c r="G38" s="7">
        <v>20</v>
      </c>
      <c r="H38" s="6" t="s">
        <v>20</v>
      </c>
      <c r="I38" s="6" t="s">
        <v>22</v>
      </c>
      <c r="J38" s="7">
        <v>31</v>
      </c>
      <c r="K38" s="6" t="s">
        <v>11</v>
      </c>
      <c r="L38" s="6" t="s">
        <v>7</v>
      </c>
      <c r="M38" s="6">
        <v>10</v>
      </c>
      <c r="N38" s="7">
        <v>4343.95</v>
      </c>
      <c r="O38" s="7">
        <v>-6469.78</v>
      </c>
      <c r="P38" s="7">
        <f t="shared" si="0"/>
        <v>-2125.83</v>
      </c>
    </row>
    <row r="39" spans="4:17" x14ac:dyDescent="0.25">
      <c r="D39">
        <f t="shared" si="1"/>
        <v>31</v>
      </c>
      <c r="E39" s="6" t="s">
        <v>18</v>
      </c>
      <c r="F39" s="6" t="s">
        <v>1</v>
      </c>
      <c r="G39" s="7">
        <v>20</v>
      </c>
      <c r="H39" s="6" t="s">
        <v>20</v>
      </c>
      <c r="I39" s="6" t="s">
        <v>22</v>
      </c>
      <c r="J39" s="7">
        <v>31</v>
      </c>
      <c r="K39" s="6" t="s">
        <v>11</v>
      </c>
      <c r="L39" s="6" t="s">
        <v>12</v>
      </c>
      <c r="M39" s="6">
        <v>10</v>
      </c>
      <c r="N39" s="7">
        <v>4343.95</v>
      </c>
      <c r="O39" s="7">
        <v>-6469.78</v>
      </c>
      <c r="P39" s="7">
        <f t="shared" ref="P39" si="2">N39+O39</f>
        <v>-2125.83</v>
      </c>
    </row>
    <row r="40" spans="4:17" x14ac:dyDescent="0.25">
      <c r="D40">
        <f t="shared" si="1"/>
        <v>32</v>
      </c>
      <c r="E40" s="6" t="s">
        <v>18</v>
      </c>
      <c r="F40" s="6" t="s">
        <v>1</v>
      </c>
      <c r="G40" s="7">
        <v>20</v>
      </c>
      <c r="H40" s="6" t="s">
        <v>20</v>
      </c>
      <c r="I40" s="6" t="s">
        <v>22</v>
      </c>
      <c r="J40" s="7">
        <v>31</v>
      </c>
      <c r="K40" s="6" t="s">
        <v>14</v>
      </c>
      <c r="L40" s="6" t="s">
        <v>12</v>
      </c>
      <c r="M40" s="6">
        <v>2</v>
      </c>
      <c r="N40" s="7">
        <v>4343.95</v>
      </c>
      <c r="O40" s="7">
        <v>-6469.78</v>
      </c>
      <c r="P40" s="7">
        <f t="shared" ref="P40:P56" si="3">N40+O40</f>
        <v>-2125.83</v>
      </c>
    </row>
    <row r="41" spans="4:17" x14ac:dyDescent="0.25">
      <c r="D41">
        <f t="shared" si="1"/>
        <v>33</v>
      </c>
      <c r="E41" s="6" t="s">
        <v>18</v>
      </c>
      <c r="F41" s="6" t="s">
        <v>1</v>
      </c>
      <c r="G41" s="7">
        <v>20</v>
      </c>
      <c r="H41" s="6" t="s">
        <v>20</v>
      </c>
      <c r="I41" s="6" t="s">
        <v>22</v>
      </c>
      <c r="J41" s="7">
        <v>31</v>
      </c>
      <c r="K41" s="6" t="s">
        <v>14</v>
      </c>
      <c r="L41" s="6" t="s">
        <v>7</v>
      </c>
      <c r="M41" s="6">
        <v>2</v>
      </c>
      <c r="N41" s="7">
        <v>392.98</v>
      </c>
      <c r="O41" s="7">
        <v>-1677.36</v>
      </c>
      <c r="P41" s="7">
        <f t="shared" si="3"/>
        <v>-1284.3799999999999</v>
      </c>
    </row>
    <row r="42" spans="4:17" x14ac:dyDescent="0.25">
      <c r="D42">
        <f t="shared" si="1"/>
        <v>34</v>
      </c>
      <c r="E42" s="6" t="s">
        <v>18</v>
      </c>
      <c r="F42" s="6" t="s">
        <v>1</v>
      </c>
      <c r="G42" s="7">
        <v>20</v>
      </c>
      <c r="H42" s="6" t="s">
        <v>20</v>
      </c>
      <c r="I42" s="6" t="s">
        <v>22</v>
      </c>
      <c r="J42" s="7">
        <v>31</v>
      </c>
      <c r="K42" s="6" t="s">
        <v>14</v>
      </c>
      <c r="L42" s="6" t="s">
        <v>12</v>
      </c>
      <c r="M42" s="6">
        <v>2</v>
      </c>
      <c r="N42" s="7">
        <v>392.98</v>
      </c>
      <c r="O42" s="7">
        <v>-1677.36</v>
      </c>
      <c r="P42" s="7">
        <f t="shared" si="3"/>
        <v>-1284.3799999999999</v>
      </c>
    </row>
    <row r="43" spans="4:17" x14ac:dyDescent="0.25">
      <c r="D43">
        <f t="shared" si="1"/>
        <v>35</v>
      </c>
      <c r="E43" s="6" t="s">
        <v>18</v>
      </c>
      <c r="F43" s="6" t="s">
        <v>1</v>
      </c>
      <c r="G43" s="7">
        <v>20</v>
      </c>
      <c r="H43" s="6" t="s">
        <v>20</v>
      </c>
      <c r="I43" s="6" t="s">
        <v>22</v>
      </c>
      <c r="J43" s="7">
        <v>31</v>
      </c>
      <c r="K43" s="6" t="s">
        <v>15</v>
      </c>
      <c r="L43" s="6" t="s">
        <v>7</v>
      </c>
      <c r="M43" s="6">
        <v>10</v>
      </c>
      <c r="N43" s="7">
        <v>292.85000000000002</v>
      </c>
      <c r="O43" s="7">
        <v>-100.68</v>
      </c>
      <c r="P43" s="36">
        <f t="shared" si="3"/>
        <v>192.17000000000002</v>
      </c>
    </row>
    <row r="44" spans="4:17" x14ac:dyDescent="0.25">
      <c r="D44">
        <f t="shared" si="1"/>
        <v>36</v>
      </c>
      <c r="E44" s="6" t="s">
        <v>18</v>
      </c>
      <c r="F44" s="6" t="s">
        <v>1</v>
      </c>
      <c r="G44" s="7">
        <v>20</v>
      </c>
      <c r="H44" s="6" t="s">
        <v>20</v>
      </c>
      <c r="I44" s="6" t="s">
        <v>22</v>
      </c>
      <c r="J44" s="7">
        <v>31</v>
      </c>
      <c r="K44" s="6" t="s">
        <v>15</v>
      </c>
      <c r="L44" s="6" t="s">
        <v>7</v>
      </c>
      <c r="M44" s="6">
        <v>2</v>
      </c>
      <c r="N44" s="7">
        <v>292.86</v>
      </c>
      <c r="O44" s="7">
        <v>-41.82</v>
      </c>
      <c r="P44" s="13">
        <f t="shared" si="3"/>
        <v>251.04000000000002</v>
      </c>
    </row>
    <row r="45" spans="4:17" x14ac:dyDescent="0.25">
      <c r="D45">
        <f t="shared" si="1"/>
        <v>37</v>
      </c>
      <c r="E45" s="6" t="s">
        <v>18</v>
      </c>
      <c r="F45" s="6" t="s">
        <v>1</v>
      </c>
      <c r="G45" s="7">
        <v>20</v>
      </c>
      <c r="H45" s="6" t="s">
        <v>20</v>
      </c>
      <c r="I45" s="6" t="s">
        <v>22</v>
      </c>
      <c r="J45" s="7">
        <v>31</v>
      </c>
      <c r="K45" s="6" t="s">
        <v>15</v>
      </c>
      <c r="L45" s="6" t="s">
        <v>12</v>
      </c>
      <c r="M45" s="6">
        <v>2</v>
      </c>
      <c r="N45" s="7">
        <v>292.86</v>
      </c>
      <c r="O45" s="7">
        <v>-41.82</v>
      </c>
      <c r="P45" s="13">
        <f t="shared" si="3"/>
        <v>251.04000000000002</v>
      </c>
    </row>
    <row r="46" spans="4:17" x14ac:dyDescent="0.25">
      <c r="D46">
        <f t="shared" si="1"/>
        <v>38</v>
      </c>
      <c r="E46" s="6" t="s">
        <v>18</v>
      </c>
      <c r="F46" s="6" t="s">
        <v>1</v>
      </c>
      <c r="G46" s="7">
        <v>20</v>
      </c>
      <c r="H46" s="6" t="s">
        <v>20</v>
      </c>
      <c r="I46" s="6" t="s">
        <v>22</v>
      </c>
      <c r="J46" s="7">
        <v>31</v>
      </c>
      <c r="K46" s="6" t="s">
        <v>15</v>
      </c>
      <c r="L46" s="6" t="s">
        <v>12</v>
      </c>
      <c r="M46" s="6">
        <v>10</v>
      </c>
      <c r="N46" s="7">
        <v>292.86</v>
      </c>
      <c r="O46" s="7">
        <v>-41.82</v>
      </c>
      <c r="P46" s="36">
        <f t="shared" si="3"/>
        <v>251.04000000000002</v>
      </c>
    </row>
    <row r="47" spans="4:17" x14ac:dyDescent="0.25">
      <c r="D47">
        <f t="shared" si="1"/>
        <v>39</v>
      </c>
      <c r="E47" s="6" t="s">
        <v>18</v>
      </c>
      <c r="F47" s="6" t="s">
        <v>1</v>
      </c>
      <c r="G47" s="7">
        <v>20</v>
      </c>
      <c r="H47" s="6" t="s">
        <v>20</v>
      </c>
      <c r="I47" s="6" t="s">
        <v>22</v>
      </c>
      <c r="J47" s="7">
        <v>31</v>
      </c>
      <c r="K47" s="6" t="s">
        <v>15</v>
      </c>
      <c r="L47" s="6" t="s">
        <v>7</v>
      </c>
      <c r="M47" s="6">
        <v>10</v>
      </c>
      <c r="N47" s="7">
        <v>292.85000000000002</v>
      </c>
      <c r="O47" s="7">
        <v>-100.68</v>
      </c>
      <c r="P47" s="36">
        <f t="shared" si="3"/>
        <v>192.17000000000002</v>
      </c>
    </row>
    <row r="48" spans="4:17" x14ac:dyDescent="0.25">
      <c r="D48">
        <f t="shared" si="1"/>
        <v>40</v>
      </c>
      <c r="E48" s="6" t="s">
        <v>18</v>
      </c>
      <c r="F48" s="6" t="s">
        <v>1</v>
      </c>
      <c r="G48" s="7">
        <v>20</v>
      </c>
      <c r="H48" s="6" t="s">
        <v>20</v>
      </c>
      <c r="I48" s="6" t="s">
        <v>22</v>
      </c>
      <c r="J48" s="7">
        <v>31</v>
      </c>
      <c r="K48" s="6" t="s">
        <v>15</v>
      </c>
      <c r="L48" s="6" t="s">
        <v>7</v>
      </c>
      <c r="M48" s="6">
        <v>50</v>
      </c>
      <c r="N48" s="7">
        <v>292.8</v>
      </c>
      <c r="O48" s="7">
        <v>-393.03</v>
      </c>
      <c r="P48" s="7">
        <f t="shared" si="3"/>
        <v>-100.22999999999996</v>
      </c>
    </row>
    <row r="49" spans="4:16" x14ac:dyDescent="0.25">
      <c r="D49">
        <f t="shared" si="1"/>
        <v>41</v>
      </c>
      <c r="E49" s="6" t="s">
        <v>18</v>
      </c>
      <c r="F49" s="6" t="s">
        <v>1</v>
      </c>
      <c r="G49" s="7">
        <v>20</v>
      </c>
      <c r="H49" s="6" t="s">
        <v>20</v>
      </c>
      <c r="I49" s="6" t="s">
        <v>22</v>
      </c>
      <c r="J49" s="7">
        <v>31</v>
      </c>
      <c r="K49" s="6" t="s">
        <v>15</v>
      </c>
      <c r="L49" s="6" t="s">
        <v>7</v>
      </c>
      <c r="M49" s="6">
        <v>100</v>
      </c>
      <c r="N49" s="7">
        <v>285.36</v>
      </c>
      <c r="O49" s="7">
        <v>-1045.32</v>
      </c>
      <c r="P49" s="7">
        <f t="shared" si="3"/>
        <v>-759.95999999999992</v>
      </c>
    </row>
    <row r="50" spans="4:16" x14ac:dyDescent="0.25">
      <c r="D50">
        <f t="shared" si="1"/>
        <v>42</v>
      </c>
      <c r="E50" s="6" t="s">
        <v>18</v>
      </c>
      <c r="F50" s="6" t="s">
        <v>1</v>
      </c>
      <c r="G50" s="7">
        <v>20</v>
      </c>
      <c r="H50" s="6" t="s">
        <v>20</v>
      </c>
      <c r="I50" s="6" t="s">
        <v>22</v>
      </c>
      <c r="J50" s="7">
        <v>31</v>
      </c>
      <c r="K50" s="6" t="s">
        <v>15</v>
      </c>
      <c r="L50" s="6" t="s">
        <v>12</v>
      </c>
      <c r="M50" s="6">
        <v>100</v>
      </c>
      <c r="N50" s="7">
        <v>285.36</v>
      </c>
      <c r="O50" s="7">
        <v>-1045.32</v>
      </c>
      <c r="P50" s="7">
        <f t="shared" si="3"/>
        <v>-759.95999999999992</v>
      </c>
    </row>
    <row r="51" spans="4:16" x14ac:dyDescent="0.25">
      <c r="D51">
        <f t="shared" si="1"/>
        <v>43</v>
      </c>
      <c r="E51" s="6" t="s">
        <v>18</v>
      </c>
      <c r="F51" s="6" t="s">
        <v>1</v>
      </c>
      <c r="G51" s="7">
        <v>20</v>
      </c>
      <c r="H51" s="6" t="s">
        <v>20</v>
      </c>
      <c r="I51" s="6" t="s">
        <v>22</v>
      </c>
      <c r="J51" s="7">
        <v>31</v>
      </c>
      <c r="K51" s="6" t="s">
        <v>15</v>
      </c>
      <c r="L51" s="6" t="s">
        <v>12</v>
      </c>
      <c r="M51" s="6">
        <v>2</v>
      </c>
      <c r="N51" s="7">
        <v>285.36</v>
      </c>
      <c r="O51" s="7">
        <v>-1045.32</v>
      </c>
      <c r="P51" s="7">
        <f t="shared" si="3"/>
        <v>-759.95999999999992</v>
      </c>
    </row>
    <row r="52" spans="4:16" x14ac:dyDescent="0.25">
      <c r="D52">
        <f t="shared" si="1"/>
        <v>44</v>
      </c>
      <c r="E52" s="6" t="s">
        <v>18</v>
      </c>
      <c r="F52" s="6" t="s">
        <v>1</v>
      </c>
      <c r="G52" s="7">
        <v>20</v>
      </c>
      <c r="H52" s="6" t="s">
        <v>20</v>
      </c>
      <c r="I52" s="6" t="s">
        <v>22</v>
      </c>
      <c r="J52" s="7">
        <v>31</v>
      </c>
      <c r="K52" s="6" t="s">
        <v>15</v>
      </c>
      <c r="L52" s="6" t="s">
        <v>7</v>
      </c>
      <c r="M52" s="6">
        <v>2</v>
      </c>
      <c r="N52" s="7">
        <v>292.86</v>
      </c>
      <c r="O52" s="7">
        <v>-41.82</v>
      </c>
      <c r="P52" s="36">
        <f t="shared" si="3"/>
        <v>251.04000000000002</v>
      </c>
    </row>
    <row r="53" spans="4:16" x14ac:dyDescent="0.25">
      <c r="D53">
        <f t="shared" si="1"/>
        <v>45</v>
      </c>
      <c r="E53" s="14" t="s">
        <v>18</v>
      </c>
      <c r="F53" s="14" t="s">
        <v>16</v>
      </c>
      <c r="G53" s="15">
        <v>0.44444444444444442</v>
      </c>
      <c r="H53" s="14" t="s">
        <v>21</v>
      </c>
      <c r="I53" s="14" t="s">
        <v>23</v>
      </c>
      <c r="J53" s="16">
        <v>3</v>
      </c>
      <c r="K53" s="14" t="s">
        <v>11</v>
      </c>
      <c r="L53" s="14" t="s">
        <v>7</v>
      </c>
      <c r="M53" s="14">
        <v>2</v>
      </c>
      <c r="N53" s="16">
        <v>699.26</v>
      </c>
      <c r="O53" s="16">
        <v>-778</v>
      </c>
      <c r="P53" s="17">
        <f t="shared" si="3"/>
        <v>-78.740000000000009</v>
      </c>
    </row>
    <row r="54" spans="4:16" x14ac:dyDescent="0.25">
      <c r="D54">
        <f t="shared" si="1"/>
        <v>46</v>
      </c>
      <c r="E54" s="6" t="s">
        <v>18</v>
      </c>
      <c r="F54" s="6" t="s">
        <v>16</v>
      </c>
      <c r="G54" s="9">
        <v>0.44444444444444442</v>
      </c>
      <c r="H54" s="6" t="s">
        <v>21</v>
      </c>
      <c r="I54" s="6" t="s">
        <v>23</v>
      </c>
      <c r="J54" s="7">
        <v>3</v>
      </c>
      <c r="K54" s="6" t="s">
        <v>11</v>
      </c>
      <c r="L54" s="6" t="s">
        <v>12</v>
      </c>
      <c r="M54" s="6">
        <v>2</v>
      </c>
      <c r="N54" s="7">
        <v>699.26</v>
      </c>
      <c r="O54" s="7">
        <v>-778</v>
      </c>
      <c r="P54" s="13">
        <f t="shared" si="3"/>
        <v>-78.740000000000009</v>
      </c>
    </row>
    <row r="55" spans="4:16" x14ac:dyDescent="0.25">
      <c r="D55">
        <f t="shared" si="1"/>
        <v>47</v>
      </c>
      <c r="E55" s="6" t="s">
        <v>18</v>
      </c>
      <c r="F55" s="6" t="s">
        <v>16</v>
      </c>
      <c r="G55" s="9">
        <v>0.4458333333333333</v>
      </c>
      <c r="H55" s="6" t="s">
        <v>21</v>
      </c>
      <c r="I55" s="6" t="s">
        <v>23</v>
      </c>
      <c r="J55" s="7">
        <v>3</v>
      </c>
      <c r="K55" s="6" t="s">
        <v>11</v>
      </c>
      <c r="L55" s="6" t="s">
        <v>7</v>
      </c>
      <c r="M55" s="6">
        <v>10</v>
      </c>
      <c r="N55" s="7">
        <v>699.26</v>
      </c>
      <c r="O55" s="7">
        <v>-778</v>
      </c>
      <c r="P55" s="13">
        <f t="shared" si="3"/>
        <v>-78.740000000000009</v>
      </c>
    </row>
    <row r="56" spans="4:16" x14ac:dyDescent="0.25">
      <c r="D56">
        <f t="shared" si="1"/>
        <v>48</v>
      </c>
      <c r="E56" s="6" t="s">
        <v>18</v>
      </c>
      <c r="F56" s="6" t="s">
        <v>16</v>
      </c>
      <c r="G56" s="9">
        <v>0.4458333333333333</v>
      </c>
      <c r="H56" s="6" t="s">
        <v>21</v>
      </c>
      <c r="I56" s="6" t="s">
        <v>23</v>
      </c>
      <c r="J56" s="7">
        <v>3</v>
      </c>
      <c r="K56" s="6" t="s">
        <v>11</v>
      </c>
      <c r="L56" s="6" t="s">
        <v>12</v>
      </c>
      <c r="M56" s="6">
        <v>10</v>
      </c>
      <c r="N56" s="7">
        <v>691.26</v>
      </c>
      <c r="O56" s="7">
        <v>-890</v>
      </c>
      <c r="P56" s="7">
        <f t="shared" si="3"/>
        <v>-198.74</v>
      </c>
    </row>
    <row r="57" spans="4:16" x14ac:dyDescent="0.25">
      <c r="D57">
        <f t="shared" si="1"/>
        <v>49</v>
      </c>
      <c r="E57" s="6" t="s">
        <v>18</v>
      </c>
      <c r="F57" s="6" t="s">
        <v>16</v>
      </c>
      <c r="G57" s="9">
        <v>0.4458333333333333</v>
      </c>
      <c r="H57" s="6" t="s">
        <v>21</v>
      </c>
      <c r="I57" s="6" t="s">
        <v>23</v>
      </c>
      <c r="J57" s="7">
        <v>3</v>
      </c>
      <c r="K57" s="6" t="s">
        <v>11</v>
      </c>
      <c r="L57" s="6" t="s">
        <v>7</v>
      </c>
      <c r="M57" s="6">
        <v>30</v>
      </c>
      <c r="N57" s="7">
        <v>524</v>
      </c>
      <c r="O57" s="7">
        <v>-1287.9000000000001</v>
      </c>
      <c r="P57" s="7">
        <f t="shared" ref="P57:P92" si="4">N57+O57</f>
        <v>-763.90000000000009</v>
      </c>
    </row>
    <row r="58" spans="4:16" x14ac:dyDescent="0.25">
      <c r="D58">
        <f t="shared" si="1"/>
        <v>50</v>
      </c>
      <c r="E58" s="18" t="s">
        <v>18</v>
      </c>
      <c r="F58" s="18" t="s">
        <v>16</v>
      </c>
      <c r="G58" s="19">
        <v>0.4458333333333333</v>
      </c>
      <c r="H58" s="18" t="s">
        <v>21</v>
      </c>
      <c r="I58" s="18" t="s">
        <v>23</v>
      </c>
      <c r="J58" s="20">
        <v>3</v>
      </c>
      <c r="K58" s="18" t="s">
        <v>11</v>
      </c>
      <c r="L58" s="18" t="s">
        <v>12</v>
      </c>
      <c r="M58" s="18">
        <v>30</v>
      </c>
      <c r="N58" s="20">
        <v>524</v>
      </c>
      <c r="O58" s="20">
        <v>-1287.9000000000001</v>
      </c>
      <c r="P58" s="20">
        <f t="shared" si="4"/>
        <v>-763.90000000000009</v>
      </c>
    </row>
    <row r="59" spans="4:16" x14ac:dyDescent="0.25">
      <c r="D59">
        <f t="shared" si="1"/>
        <v>51</v>
      </c>
      <c r="E59" s="21" t="s">
        <v>18</v>
      </c>
      <c r="F59" s="21" t="s">
        <v>16</v>
      </c>
      <c r="G59" s="15" t="s">
        <v>29</v>
      </c>
      <c r="H59" s="22" t="s">
        <v>20</v>
      </c>
      <c r="I59" s="22" t="s">
        <v>23</v>
      </c>
      <c r="J59" s="23">
        <v>30</v>
      </c>
      <c r="K59" s="22" t="s">
        <v>11</v>
      </c>
      <c r="L59" s="22" t="s">
        <v>7</v>
      </c>
      <c r="M59" s="22">
        <v>2</v>
      </c>
      <c r="N59" s="16">
        <v>4688.6099999999997</v>
      </c>
      <c r="O59" s="16">
        <v>-6899.8</v>
      </c>
      <c r="P59" s="16">
        <f t="shared" si="4"/>
        <v>-2211.1900000000005</v>
      </c>
    </row>
    <row r="60" spans="4:16" x14ac:dyDescent="0.25">
      <c r="D60">
        <f t="shared" si="1"/>
        <v>52</v>
      </c>
      <c r="E60" s="18" t="s">
        <v>18</v>
      </c>
      <c r="F60" s="18" t="s">
        <v>16</v>
      </c>
      <c r="G60" s="19" t="s">
        <v>30</v>
      </c>
      <c r="H60" s="24" t="s">
        <v>20</v>
      </c>
      <c r="I60" s="24" t="s">
        <v>23</v>
      </c>
      <c r="J60" s="25">
        <v>30</v>
      </c>
      <c r="K60" s="24" t="s">
        <v>11</v>
      </c>
      <c r="L60" s="24" t="s">
        <v>12</v>
      </c>
      <c r="M60" s="24">
        <v>2</v>
      </c>
      <c r="N60" s="20">
        <v>4688.6099999999997</v>
      </c>
      <c r="O60" s="20">
        <v>-6899.8</v>
      </c>
      <c r="P60" s="20">
        <f t="shared" si="4"/>
        <v>-2211.1900000000005</v>
      </c>
    </row>
    <row r="61" spans="4:16" x14ac:dyDescent="0.25">
      <c r="D61">
        <f t="shared" si="1"/>
        <v>53</v>
      </c>
      <c r="E61" s="10" t="s">
        <v>18</v>
      </c>
      <c r="F61" s="32" t="s">
        <v>36</v>
      </c>
      <c r="G61" s="1" t="s">
        <v>37</v>
      </c>
      <c r="H61" s="24" t="s">
        <v>20</v>
      </c>
      <c r="I61" s="24" t="s">
        <v>23</v>
      </c>
      <c r="J61" s="33">
        <v>30</v>
      </c>
      <c r="K61" s="32" t="s">
        <v>11</v>
      </c>
      <c r="L61" s="32" t="s">
        <v>12</v>
      </c>
      <c r="M61" s="32">
        <v>2</v>
      </c>
      <c r="N61" s="2">
        <v>5562.72</v>
      </c>
      <c r="O61" s="2">
        <v>-5019.1000000000004</v>
      </c>
      <c r="P61" s="3">
        <f t="shared" si="4"/>
        <v>543.61999999999989</v>
      </c>
    </row>
    <row r="62" spans="4:16" x14ac:dyDescent="0.25">
      <c r="D62">
        <f t="shared" si="1"/>
        <v>54</v>
      </c>
      <c r="E62" s="10" t="s">
        <v>18</v>
      </c>
      <c r="F62" s="32" t="s">
        <v>36</v>
      </c>
      <c r="G62" s="1" t="s">
        <v>38</v>
      </c>
      <c r="H62" s="24" t="s">
        <v>20</v>
      </c>
      <c r="I62" s="24" t="s">
        <v>23</v>
      </c>
      <c r="J62" s="33">
        <v>30</v>
      </c>
      <c r="K62" s="32" t="s">
        <v>11</v>
      </c>
      <c r="L62" s="32" t="s">
        <v>7</v>
      </c>
      <c r="M62" s="32">
        <v>2</v>
      </c>
      <c r="N62" s="2">
        <v>5562.72</v>
      </c>
      <c r="O62" s="2">
        <v>-5019.1000000000004</v>
      </c>
      <c r="P62" s="3">
        <f t="shared" si="4"/>
        <v>543.61999999999989</v>
      </c>
    </row>
    <row r="63" spans="4:16" x14ac:dyDescent="0.25">
      <c r="D63">
        <f t="shared" si="1"/>
        <v>55</v>
      </c>
      <c r="E63" s="32" t="s">
        <v>18</v>
      </c>
      <c r="F63" s="32" t="s">
        <v>36</v>
      </c>
      <c r="G63" s="1" t="s">
        <v>37</v>
      </c>
      <c r="H63" s="24" t="s">
        <v>20</v>
      </c>
      <c r="I63" s="24" t="s">
        <v>23</v>
      </c>
      <c r="J63" s="33">
        <v>30</v>
      </c>
      <c r="K63" s="32" t="s">
        <v>11</v>
      </c>
      <c r="L63" s="32" t="s">
        <v>12</v>
      </c>
      <c r="M63" s="32">
        <v>10</v>
      </c>
      <c r="N63" s="2">
        <v>4911.76</v>
      </c>
      <c r="O63" s="2">
        <v>-6851.5</v>
      </c>
      <c r="P63" s="34">
        <f t="shared" si="4"/>
        <v>-1939.7399999999998</v>
      </c>
    </row>
    <row r="64" spans="4:16" x14ac:dyDescent="0.25">
      <c r="D64">
        <f t="shared" si="1"/>
        <v>56</v>
      </c>
      <c r="E64" s="32" t="s">
        <v>18</v>
      </c>
      <c r="F64" s="32" t="s">
        <v>36</v>
      </c>
      <c r="G64" s="1" t="s">
        <v>38</v>
      </c>
      <c r="H64" s="24" t="s">
        <v>20</v>
      </c>
      <c r="I64" s="24" t="s">
        <v>23</v>
      </c>
      <c r="J64" s="33">
        <v>30</v>
      </c>
      <c r="K64" s="32" t="s">
        <v>11</v>
      </c>
      <c r="L64" s="32" t="s">
        <v>7</v>
      </c>
      <c r="M64" s="32">
        <v>10</v>
      </c>
      <c r="N64" s="2">
        <v>4911.76</v>
      </c>
      <c r="O64" s="2">
        <v>-6851.5</v>
      </c>
      <c r="P64" s="34">
        <f t="shared" si="4"/>
        <v>-1939.7399999999998</v>
      </c>
    </row>
    <row r="65" spans="4:16" x14ac:dyDescent="0.25">
      <c r="D65">
        <f t="shared" si="1"/>
        <v>57</v>
      </c>
      <c r="E65" s="32" t="s">
        <v>18</v>
      </c>
      <c r="F65" s="32" t="s">
        <v>36</v>
      </c>
      <c r="G65" s="1" t="s">
        <v>37</v>
      </c>
      <c r="H65" s="24" t="s">
        <v>20</v>
      </c>
      <c r="I65" s="24" t="s">
        <v>23</v>
      </c>
      <c r="J65" s="33">
        <v>30</v>
      </c>
      <c r="K65" s="32" t="s">
        <v>11</v>
      </c>
      <c r="L65" s="32" t="s">
        <v>12</v>
      </c>
      <c r="M65" s="32">
        <v>30</v>
      </c>
      <c r="N65" s="2">
        <v>3140.68</v>
      </c>
      <c r="O65" s="2">
        <v>-9012.0300000000007</v>
      </c>
      <c r="P65" s="34">
        <f t="shared" si="4"/>
        <v>-5871.35</v>
      </c>
    </row>
    <row r="66" spans="4:16" x14ac:dyDescent="0.25">
      <c r="D66">
        <f t="shared" si="1"/>
        <v>58</v>
      </c>
      <c r="E66" s="32" t="s">
        <v>18</v>
      </c>
      <c r="F66" s="32" t="s">
        <v>36</v>
      </c>
      <c r="G66" s="1" t="s">
        <v>38</v>
      </c>
      <c r="H66" s="24" t="s">
        <v>20</v>
      </c>
      <c r="I66" s="24" t="s">
        <v>23</v>
      </c>
      <c r="J66" s="33">
        <v>30</v>
      </c>
      <c r="K66" s="32" t="s">
        <v>11</v>
      </c>
      <c r="L66" s="32" t="s">
        <v>7</v>
      </c>
      <c r="M66" s="32">
        <v>30</v>
      </c>
      <c r="N66" s="2">
        <v>3140.68</v>
      </c>
      <c r="O66" s="2">
        <v>-9012.0300000000007</v>
      </c>
      <c r="P66" s="34">
        <f t="shared" si="4"/>
        <v>-5871.35</v>
      </c>
    </row>
    <row r="67" spans="4:16" x14ac:dyDescent="0.25">
      <c r="D67">
        <f t="shared" si="1"/>
        <v>59</v>
      </c>
      <c r="E67" s="32" t="s">
        <v>18</v>
      </c>
      <c r="F67" s="32" t="s">
        <v>36</v>
      </c>
      <c r="G67" s="1">
        <v>0.48125000000000001</v>
      </c>
      <c r="H67" s="24" t="s">
        <v>20</v>
      </c>
      <c r="I67" s="24" t="s">
        <v>23</v>
      </c>
      <c r="J67" s="33">
        <v>30</v>
      </c>
      <c r="K67" s="32" t="s">
        <v>14</v>
      </c>
      <c r="L67" s="32" t="s">
        <v>7</v>
      </c>
      <c r="M67" s="32">
        <v>2</v>
      </c>
      <c r="N67" s="2">
        <v>623.33000000000004</v>
      </c>
      <c r="O67" s="2">
        <v>-877.5</v>
      </c>
      <c r="P67" s="34">
        <f t="shared" si="4"/>
        <v>-254.16999999999996</v>
      </c>
    </row>
    <row r="68" spans="4:16" x14ac:dyDescent="0.25">
      <c r="D68">
        <f t="shared" si="1"/>
        <v>60</v>
      </c>
      <c r="E68" s="32" t="s">
        <v>18</v>
      </c>
      <c r="F68" s="32" t="s">
        <v>36</v>
      </c>
      <c r="G68" s="1">
        <v>0.48194444444444445</v>
      </c>
      <c r="H68" s="24" t="s">
        <v>20</v>
      </c>
      <c r="I68" s="24" t="s">
        <v>23</v>
      </c>
      <c r="J68" s="33">
        <v>30</v>
      </c>
      <c r="K68" s="32" t="s">
        <v>14</v>
      </c>
      <c r="L68" s="32" t="s">
        <v>12</v>
      </c>
      <c r="M68" s="32">
        <v>2</v>
      </c>
      <c r="N68" s="2">
        <v>623.33000000000004</v>
      </c>
      <c r="O68" s="2">
        <v>-877.5</v>
      </c>
      <c r="P68" s="34">
        <f t="shared" si="4"/>
        <v>-254.16999999999996</v>
      </c>
    </row>
    <row r="69" spans="4:16" x14ac:dyDescent="0.25">
      <c r="D69">
        <f t="shared" si="1"/>
        <v>61</v>
      </c>
      <c r="E69" s="32" t="s">
        <v>18</v>
      </c>
      <c r="F69" s="32" t="s">
        <v>36</v>
      </c>
      <c r="G69" s="1">
        <v>0.48125000000000001</v>
      </c>
      <c r="H69" s="24" t="s">
        <v>20</v>
      </c>
      <c r="I69" s="24" t="s">
        <v>23</v>
      </c>
      <c r="J69" s="33">
        <v>30</v>
      </c>
      <c r="K69" s="32" t="s">
        <v>15</v>
      </c>
      <c r="L69" s="32" t="s">
        <v>7</v>
      </c>
      <c r="M69" s="32">
        <v>2</v>
      </c>
      <c r="N69" s="2">
        <v>632</v>
      </c>
      <c r="O69" s="2">
        <v>-1145.4000000000001</v>
      </c>
      <c r="P69" s="2">
        <f t="shared" si="4"/>
        <v>-513.40000000000009</v>
      </c>
    </row>
    <row r="70" spans="4:16" x14ac:dyDescent="0.25">
      <c r="D70">
        <f t="shared" si="1"/>
        <v>62</v>
      </c>
      <c r="E70" s="32" t="s">
        <v>18</v>
      </c>
      <c r="F70" s="32" t="s">
        <v>36</v>
      </c>
      <c r="G70" s="1">
        <v>0.48194444444444445</v>
      </c>
      <c r="H70" s="24" t="s">
        <v>20</v>
      </c>
      <c r="I70" s="24" t="s">
        <v>23</v>
      </c>
      <c r="J70" s="33">
        <v>30</v>
      </c>
      <c r="K70" s="32" t="s">
        <v>15</v>
      </c>
      <c r="L70" s="32" t="s">
        <v>12</v>
      </c>
      <c r="M70" s="32">
        <v>2</v>
      </c>
      <c r="N70" s="2">
        <v>632</v>
      </c>
      <c r="O70" s="2">
        <v>-1145.4000000000001</v>
      </c>
      <c r="P70" s="2">
        <f t="shared" si="4"/>
        <v>-513.40000000000009</v>
      </c>
    </row>
    <row r="71" spans="4:16" x14ac:dyDescent="0.25">
      <c r="D71">
        <f t="shared" si="1"/>
        <v>63</v>
      </c>
      <c r="E71" s="32" t="s">
        <v>0</v>
      </c>
      <c r="F71" s="32" t="s">
        <v>36</v>
      </c>
      <c r="G71" s="1" t="s">
        <v>37</v>
      </c>
      <c r="H71" s="24" t="s">
        <v>20</v>
      </c>
      <c r="I71" s="24" t="s">
        <v>23</v>
      </c>
      <c r="J71" s="33">
        <v>30</v>
      </c>
      <c r="K71" s="32" t="s">
        <v>11</v>
      </c>
      <c r="L71" s="32" t="s">
        <v>12</v>
      </c>
      <c r="M71" s="32">
        <v>2</v>
      </c>
      <c r="N71" s="2">
        <v>3140.68</v>
      </c>
      <c r="O71" s="2">
        <v>-9012.0300000000007</v>
      </c>
      <c r="P71" s="2">
        <f t="shared" si="4"/>
        <v>-5871.35</v>
      </c>
    </row>
    <row r="72" spans="4:16" x14ac:dyDescent="0.25">
      <c r="D72">
        <f t="shared" si="1"/>
        <v>64</v>
      </c>
      <c r="E72" s="32" t="s">
        <v>0</v>
      </c>
      <c r="F72" s="32" t="s">
        <v>36</v>
      </c>
      <c r="G72" s="1" t="s">
        <v>38</v>
      </c>
      <c r="H72" s="24" t="s">
        <v>20</v>
      </c>
      <c r="I72" s="24" t="s">
        <v>23</v>
      </c>
      <c r="J72" s="33">
        <v>30</v>
      </c>
      <c r="K72" s="32" t="s">
        <v>11</v>
      </c>
      <c r="L72" s="32" t="s">
        <v>7</v>
      </c>
      <c r="M72" s="32">
        <v>2</v>
      </c>
      <c r="N72" s="2">
        <v>7285.16</v>
      </c>
      <c r="O72" s="2">
        <v>-10923.86</v>
      </c>
      <c r="P72" s="2">
        <f t="shared" si="4"/>
        <v>-3638.7000000000007</v>
      </c>
    </row>
    <row r="73" spans="4:16" x14ac:dyDescent="0.25">
      <c r="D73">
        <f t="shared" si="1"/>
        <v>65</v>
      </c>
      <c r="E73" s="32" t="s">
        <v>0</v>
      </c>
      <c r="F73" s="32" t="s">
        <v>36</v>
      </c>
      <c r="G73" s="1" t="s">
        <v>37</v>
      </c>
      <c r="H73" s="24" t="s">
        <v>20</v>
      </c>
      <c r="I73" s="24" t="s">
        <v>23</v>
      </c>
      <c r="J73" s="33">
        <v>30</v>
      </c>
      <c r="K73" s="32" t="s">
        <v>11</v>
      </c>
      <c r="L73" s="32" t="s">
        <v>12</v>
      </c>
      <c r="M73" s="32">
        <v>10</v>
      </c>
      <c r="N73" s="2">
        <v>3797.06</v>
      </c>
      <c r="O73" s="2">
        <v>-13582.66</v>
      </c>
      <c r="P73" s="2">
        <f t="shared" si="4"/>
        <v>-9785.6</v>
      </c>
    </row>
    <row r="74" spans="4:16" x14ac:dyDescent="0.25">
      <c r="D74">
        <f t="shared" si="1"/>
        <v>66</v>
      </c>
      <c r="E74" s="32" t="s">
        <v>0</v>
      </c>
      <c r="F74" s="32" t="s">
        <v>36</v>
      </c>
      <c r="G74" s="1" t="s">
        <v>38</v>
      </c>
      <c r="H74" s="24" t="s">
        <v>20</v>
      </c>
      <c r="I74" s="24" t="s">
        <v>23</v>
      </c>
      <c r="J74" s="33">
        <v>30</v>
      </c>
      <c r="K74" s="32" t="s">
        <v>11</v>
      </c>
      <c r="L74" s="32" t="s">
        <v>7</v>
      </c>
      <c r="M74" s="32">
        <v>10</v>
      </c>
      <c r="N74" s="2">
        <v>3797.06</v>
      </c>
      <c r="O74" s="2">
        <v>-13582.66</v>
      </c>
      <c r="P74" s="2">
        <f t="shared" si="4"/>
        <v>-9785.6</v>
      </c>
    </row>
    <row r="75" spans="4:16" x14ac:dyDescent="0.25">
      <c r="D75">
        <f t="shared" ref="D75:D92" si="5">D74+1</f>
        <v>67</v>
      </c>
      <c r="E75" s="32" t="s">
        <v>0</v>
      </c>
      <c r="F75" s="32" t="s">
        <v>36</v>
      </c>
      <c r="G75" s="1" t="s">
        <v>40</v>
      </c>
      <c r="H75" s="24" t="s">
        <v>20</v>
      </c>
      <c r="I75" s="24" t="s">
        <v>23</v>
      </c>
      <c r="J75" s="33">
        <v>30</v>
      </c>
      <c r="K75" s="32" t="s">
        <v>11</v>
      </c>
      <c r="L75" s="32" t="s">
        <v>12</v>
      </c>
      <c r="M75" s="32">
        <v>30</v>
      </c>
      <c r="N75" s="2">
        <v>764.97</v>
      </c>
      <c r="O75" s="2">
        <v>-10762.12</v>
      </c>
      <c r="P75" s="2">
        <f t="shared" si="4"/>
        <v>-9997.1500000000015</v>
      </c>
    </row>
    <row r="76" spans="4:16" x14ac:dyDescent="0.25">
      <c r="D76">
        <f t="shared" si="5"/>
        <v>68</v>
      </c>
      <c r="E76" s="32" t="s">
        <v>0</v>
      </c>
      <c r="F76" s="32" t="s">
        <v>36</v>
      </c>
      <c r="G76" s="1" t="s">
        <v>39</v>
      </c>
      <c r="H76" s="24" t="s">
        <v>20</v>
      </c>
      <c r="I76" s="24" t="s">
        <v>23</v>
      </c>
      <c r="J76" s="33">
        <v>30</v>
      </c>
      <c r="K76" s="32" t="s">
        <v>11</v>
      </c>
      <c r="L76" s="32" t="s">
        <v>7</v>
      </c>
      <c r="M76" s="32">
        <v>30</v>
      </c>
      <c r="N76" s="2">
        <v>764.97</v>
      </c>
      <c r="O76" s="2">
        <v>-10762.12</v>
      </c>
      <c r="P76" s="2">
        <f t="shared" si="4"/>
        <v>-9997.1500000000015</v>
      </c>
    </row>
    <row r="77" spans="4:16" x14ac:dyDescent="0.25">
      <c r="D77">
        <f t="shared" si="5"/>
        <v>69</v>
      </c>
      <c r="E77" s="32" t="s">
        <v>0</v>
      </c>
      <c r="F77" s="10" t="s">
        <v>36</v>
      </c>
      <c r="G77" s="1">
        <v>0.48125000000000001</v>
      </c>
      <c r="H77" s="24" t="s">
        <v>20</v>
      </c>
      <c r="I77" s="24" t="s">
        <v>23</v>
      </c>
      <c r="J77" s="33">
        <v>30</v>
      </c>
      <c r="K77" s="32" t="s">
        <v>14</v>
      </c>
      <c r="L77" s="32" t="s">
        <v>7</v>
      </c>
      <c r="M77" s="32">
        <v>2</v>
      </c>
      <c r="N77" s="2">
        <v>2366.4</v>
      </c>
      <c r="O77" s="2">
        <v>-2861.91</v>
      </c>
      <c r="P77" s="34">
        <f t="shared" si="4"/>
        <v>-495.50999999999976</v>
      </c>
    </row>
    <row r="78" spans="4:16" x14ac:dyDescent="0.25">
      <c r="D78">
        <f t="shared" si="5"/>
        <v>70</v>
      </c>
      <c r="E78" s="32" t="s">
        <v>0</v>
      </c>
      <c r="F78" s="10" t="s">
        <v>36</v>
      </c>
      <c r="G78" s="1">
        <v>0.48194444444444445</v>
      </c>
      <c r="H78" s="24" t="s">
        <v>20</v>
      </c>
      <c r="I78" s="24" t="s">
        <v>23</v>
      </c>
      <c r="J78" s="33">
        <v>30</v>
      </c>
      <c r="K78" s="32" t="s">
        <v>14</v>
      </c>
      <c r="L78" s="32" t="s">
        <v>12</v>
      </c>
      <c r="M78" s="32">
        <v>2</v>
      </c>
      <c r="N78" s="2">
        <v>2366.4</v>
      </c>
      <c r="O78" s="2">
        <v>-2861.91</v>
      </c>
      <c r="P78" s="34">
        <f t="shared" si="4"/>
        <v>-495.50999999999976</v>
      </c>
    </row>
    <row r="79" spans="4:16" x14ac:dyDescent="0.25">
      <c r="D79">
        <f t="shared" si="5"/>
        <v>71</v>
      </c>
      <c r="E79" s="32" t="s">
        <v>0</v>
      </c>
      <c r="F79" s="10" t="s">
        <v>36</v>
      </c>
      <c r="G79" s="1">
        <v>0.48125000000000001</v>
      </c>
      <c r="H79" s="24" t="s">
        <v>20</v>
      </c>
      <c r="I79" s="24" t="s">
        <v>23</v>
      </c>
      <c r="J79" s="33">
        <v>30</v>
      </c>
      <c r="K79" s="32" t="s">
        <v>15</v>
      </c>
      <c r="L79" s="32" t="s">
        <v>7</v>
      </c>
      <c r="M79" s="32">
        <v>2</v>
      </c>
      <c r="N79" s="2">
        <v>1755.4</v>
      </c>
      <c r="O79" s="2">
        <v>-2090.69</v>
      </c>
      <c r="P79" s="3">
        <f t="shared" si="4"/>
        <v>-335.28999999999996</v>
      </c>
    </row>
    <row r="80" spans="4:16" x14ac:dyDescent="0.25">
      <c r="D80">
        <f t="shared" si="5"/>
        <v>72</v>
      </c>
      <c r="E80" s="32" t="s">
        <v>0</v>
      </c>
      <c r="F80" s="10" t="s">
        <v>36</v>
      </c>
      <c r="G80" s="1">
        <v>0.48194444444444445</v>
      </c>
      <c r="H80" s="24" t="s">
        <v>20</v>
      </c>
      <c r="I80" s="24" t="s">
        <v>23</v>
      </c>
      <c r="J80" s="33">
        <v>30</v>
      </c>
      <c r="K80" s="32" t="s">
        <v>15</v>
      </c>
      <c r="L80" s="32" t="s">
        <v>12</v>
      </c>
      <c r="M80" s="32">
        <v>2</v>
      </c>
      <c r="N80" s="2">
        <v>1755.4</v>
      </c>
      <c r="O80" s="2">
        <v>-2090.69</v>
      </c>
      <c r="P80" s="3">
        <f t="shared" si="4"/>
        <v>-335.28999999999996</v>
      </c>
    </row>
    <row r="81" spans="4:16" x14ac:dyDescent="0.25">
      <c r="D81">
        <f t="shared" si="5"/>
        <v>73</v>
      </c>
      <c r="E81" s="32" t="s">
        <v>0</v>
      </c>
      <c r="F81" s="32" t="s">
        <v>1</v>
      </c>
      <c r="G81" s="32">
        <v>3</v>
      </c>
      <c r="H81" s="32" t="s">
        <v>20</v>
      </c>
      <c r="I81" s="32" t="s">
        <v>23</v>
      </c>
      <c r="J81" s="33">
        <v>30</v>
      </c>
      <c r="K81" s="32" t="s">
        <v>11</v>
      </c>
      <c r="L81" s="32" t="s">
        <v>7</v>
      </c>
      <c r="M81" s="32">
        <v>2</v>
      </c>
      <c r="N81" s="2">
        <v>5258.31</v>
      </c>
      <c r="O81" s="2">
        <v>-7881.02</v>
      </c>
      <c r="P81" s="2">
        <f t="shared" si="4"/>
        <v>-2622.71</v>
      </c>
    </row>
    <row r="82" spans="4:16" x14ac:dyDescent="0.25">
      <c r="D82">
        <f t="shared" si="5"/>
        <v>74</v>
      </c>
      <c r="E82" s="32" t="s">
        <v>0</v>
      </c>
      <c r="F82" s="32" t="s">
        <v>1</v>
      </c>
      <c r="G82" s="32">
        <v>3</v>
      </c>
      <c r="H82" s="32" t="s">
        <v>20</v>
      </c>
      <c r="I82" s="32" t="s">
        <v>23</v>
      </c>
      <c r="J82" s="33">
        <v>30</v>
      </c>
      <c r="K82" s="32" t="s">
        <v>11</v>
      </c>
      <c r="L82" s="32" t="s">
        <v>12</v>
      </c>
      <c r="M82" s="32">
        <v>2</v>
      </c>
      <c r="N82" s="2">
        <v>5258.31</v>
      </c>
      <c r="O82" s="2">
        <v>-7881.02</v>
      </c>
      <c r="P82" s="2">
        <f t="shared" si="4"/>
        <v>-2622.71</v>
      </c>
    </row>
    <row r="83" spans="4:16" x14ac:dyDescent="0.25">
      <c r="D83">
        <f t="shared" si="5"/>
        <v>75</v>
      </c>
      <c r="E83" s="32" t="s">
        <v>0</v>
      </c>
      <c r="F83" s="32" t="s">
        <v>1</v>
      </c>
      <c r="G83" s="32">
        <v>3</v>
      </c>
      <c r="H83" s="32" t="s">
        <v>20</v>
      </c>
      <c r="I83" s="32" t="s">
        <v>23</v>
      </c>
      <c r="J83" s="33">
        <v>30</v>
      </c>
      <c r="K83" s="32" t="s">
        <v>14</v>
      </c>
      <c r="L83" s="32" t="s">
        <v>7</v>
      </c>
      <c r="M83" s="32">
        <v>2</v>
      </c>
      <c r="N83" s="2">
        <v>1786.53</v>
      </c>
      <c r="O83" s="2">
        <v>-2389.38</v>
      </c>
      <c r="P83" s="2">
        <f t="shared" si="4"/>
        <v>-602.85000000000014</v>
      </c>
    </row>
    <row r="84" spans="4:16" x14ac:dyDescent="0.25">
      <c r="D84">
        <f t="shared" si="5"/>
        <v>76</v>
      </c>
      <c r="E84" s="32" t="s">
        <v>0</v>
      </c>
      <c r="F84" s="32" t="s">
        <v>1</v>
      </c>
      <c r="G84" s="32">
        <v>3</v>
      </c>
      <c r="H84" s="32" t="s">
        <v>20</v>
      </c>
      <c r="I84" s="32" t="s">
        <v>23</v>
      </c>
      <c r="J84" s="33">
        <v>30</v>
      </c>
      <c r="K84" s="32" t="s">
        <v>14</v>
      </c>
      <c r="L84" s="32" t="s">
        <v>12</v>
      </c>
      <c r="M84" s="32">
        <v>2</v>
      </c>
      <c r="N84" s="2">
        <v>1786.53</v>
      </c>
      <c r="O84" s="2">
        <v>-2389.38</v>
      </c>
      <c r="P84" s="2">
        <f t="shared" si="4"/>
        <v>-602.85000000000014</v>
      </c>
    </row>
    <row r="85" spans="4:16" x14ac:dyDescent="0.25">
      <c r="D85">
        <f t="shared" si="5"/>
        <v>77</v>
      </c>
      <c r="E85" s="32" t="s">
        <v>0</v>
      </c>
      <c r="F85" s="32" t="s">
        <v>1</v>
      </c>
      <c r="G85" s="32">
        <v>3</v>
      </c>
      <c r="H85" s="32" t="s">
        <v>20</v>
      </c>
      <c r="I85" s="32" t="s">
        <v>23</v>
      </c>
      <c r="J85" s="33">
        <v>30</v>
      </c>
      <c r="K85" s="32" t="s">
        <v>15</v>
      </c>
      <c r="L85" s="32" t="s">
        <v>7</v>
      </c>
      <c r="M85" s="32">
        <v>2</v>
      </c>
      <c r="N85" s="2">
        <v>1287.74</v>
      </c>
      <c r="O85" s="2">
        <v>-1746.42</v>
      </c>
      <c r="P85" s="3">
        <f t="shared" si="4"/>
        <v>-458.68000000000006</v>
      </c>
    </row>
    <row r="86" spans="4:16" x14ac:dyDescent="0.25">
      <c r="D86">
        <f t="shared" si="5"/>
        <v>78</v>
      </c>
      <c r="E86" s="32" t="s">
        <v>0</v>
      </c>
      <c r="F86" s="32" t="s">
        <v>1</v>
      </c>
      <c r="G86" s="32">
        <v>3</v>
      </c>
      <c r="H86" s="32" t="s">
        <v>20</v>
      </c>
      <c r="I86" s="32" t="s">
        <v>23</v>
      </c>
      <c r="J86" s="33">
        <v>30</v>
      </c>
      <c r="K86" s="32" t="s">
        <v>15</v>
      </c>
      <c r="L86" s="32" t="s">
        <v>12</v>
      </c>
      <c r="M86" s="32">
        <v>2</v>
      </c>
      <c r="N86" s="2">
        <v>1786.53</v>
      </c>
      <c r="O86" s="2">
        <v>-2389.38</v>
      </c>
      <c r="P86" s="3">
        <f t="shared" si="4"/>
        <v>-602.85000000000014</v>
      </c>
    </row>
    <row r="87" spans="4:16" x14ac:dyDescent="0.25">
      <c r="D87">
        <f t="shared" si="5"/>
        <v>79</v>
      </c>
      <c r="E87" s="32" t="s">
        <v>0</v>
      </c>
      <c r="F87" s="32" t="s">
        <v>1</v>
      </c>
      <c r="G87" s="32">
        <v>3</v>
      </c>
      <c r="H87" s="32" t="s">
        <v>20</v>
      </c>
      <c r="I87" s="32" t="s">
        <v>23</v>
      </c>
      <c r="J87" s="33">
        <v>30</v>
      </c>
      <c r="K87" s="32" t="s">
        <v>11</v>
      </c>
      <c r="L87" s="32" t="s">
        <v>7</v>
      </c>
      <c r="M87" s="32">
        <v>10</v>
      </c>
      <c r="N87" s="2">
        <v>2643.5</v>
      </c>
      <c r="O87" s="2">
        <v>-10351.08</v>
      </c>
      <c r="P87" s="2">
        <f t="shared" si="4"/>
        <v>-7707.58</v>
      </c>
    </row>
    <row r="88" spans="4:16" x14ac:dyDescent="0.25">
      <c r="D88">
        <f t="shared" si="5"/>
        <v>80</v>
      </c>
      <c r="E88" s="32" t="s">
        <v>0</v>
      </c>
      <c r="F88" s="32" t="s">
        <v>1</v>
      </c>
      <c r="G88" s="32">
        <v>3</v>
      </c>
      <c r="H88" s="32" t="s">
        <v>20</v>
      </c>
      <c r="I88" s="32" t="s">
        <v>23</v>
      </c>
      <c r="J88" s="33">
        <v>30</v>
      </c>
      <c r="K88" s="32" t="s">
        <v>11</v>
      </c>
      <c r="L88" s="32" t="s">
        <v>12</v>
      </c>
      <c r="M88" s="32">
        <v>10</v>
      </c>
      <c r="N88" s="2">
        <v>2643.5</v>
      </c>
      <c r="O88" s="2">
        <v>-10352.08</v>
      </c>
      <c r="P88" s="2">
        <f t="shared" si="4"/>
        <v>-7708.58</v>
      </c>
    </row>
    <row r="89" spans="4:16" x14ac:dyDescent="0.25">
      <c r="D89">
        <f t="shared" si="5"/>
        <v>81</v>
      </c>
      <c r="E89" s="32" t="s">
        <v>0</v>
      </c>
      <c r="F89" s="32" t="s">
        <v>1</v>
      </c>
      <c r="G89" s="32">
        <v>3</v>
      </c>
      <c r="H89" s="32" t="s">
        <v>20</v>
      </c>
      <c r="I89" s="32" t="s">
        <v>23</v>
      </c>
      <c r="J89" s="33">
        <v>30</v>
      </c>
      <c r="K89" s="32" t="s">
        <v>15</v>
      </c>
      <c r="L89" s="32" t="s">
        <v>7</v>
      </c>
      <c r="M89" s="32">
        <v>10</v>
      </c>
      <c r="N89" s="2">
        <v>760.6</v>
      </c>
      <c r="O89" s="2">
        <v>-1811.75</v>
      </c>
      <c r="P89" s="2">
        <f t="shared" si="4"/>
        <v>-1051.1500000000001</v>
      </c>
    </row>
    <row r="90" spans="4:16" x14ac:dyDescent="0.25">
      <c r="D90">
        <f t="shared" si="5"/>
        <v>82</v>
      </c>
      <c r="E90" s="32" t="s">
        <v>0</v>
      </c>
      <c r="F90" s="32" t="s">
        <v>1</v>
      </c>
      <c r="G90" s="32">
        <v>3</v>
      </c>
      <c r="H90" s="32" t="s">
        <v>20</v>
      </c>
      <c r="I90" s="32" t="s">
        <v>23</v>
      </c>
      <c r="J90" s="33">
        <v>30</v>
      </c>
      <c r="K90" s="32" t="s">
        <v>15</v>
      </c>
      <c r="L90" s="32" t="s">
        <v>12</v>
      </c>
      <c r="M90" s="32">
        <v>10</v>
      </c>
      <c r="N90" s="2">
        <v>2643.5</v>
      </c>
      <c r="O90" s="2">
        <v>-10352.08</v>
      </c>
      <c r="P90" s="2">
        <f t="shared" si="4"/>
        <v>-7708.58</v>
      </c>
    </row>
    <row r="91" spans="4:16" x14ac:dyDescent="0.25">
      <c r="D91">
        <f t="shared" si="5"/>
        <v>83</v>
      </c>
      <c r="E91" s="32" t="s">
        <v>0</v>
      </c>
      <c r="F91" s="32" t="s">
        <v>1</v>
      </c>
      <c r="G91" s="32">
        <v>3</v>
      </c>
      <c r="H91" s="32" t="s">
        <v>20</v>
      </c>
      <c r="I91" s="32" t="s">
        <v>23</v>
      </c>
      <c r="J91" s="33">
        <v>30</v>
      </c>
      <c r="K91" s="32" t="s">
        <v>15</v>
      </c>
      <c r="L91" s="32" t="s">
        <v>7</v>
      </c>
      <c r="M91" s="32">
        <v>30</v>
      </c>
      <c r="N91" s="2">
        <v>354.21</v>
      </c>
      <c r="O91" s="2">
        <v>-1998.22</v>
      </c>
      <c r="P91" s="2">
        <f t="shared" si="4"/>
        <v>-1644.01</v>
      </c>
    </row>
    <row r="92" spans="4:16" x14ac:dyDescent="0.25">
      <c r="D92">
        <f t="shared" si="5"/>
        <v>84</v>
      </c>
      <c r="E92" s="32" t="s">
        <v>0</v>
      </c>
      <c r="F92" s="32" t="s">
        <v>1</v>
      </c>
      <c r="G92" s="32">
        <v>3</v>
      </c>
      <c r="H92" s="32" t="s">
        <v>20</v>
      </c>
      <c r="I92" s="32" t="s">
        <v>23</v>
      </c>
      <c r="J92" s="33">
        <v>30</v>
      </c>
      <c r="K92" s="32" t="s">
        <v>15</v>
      </c>
      <c r="L92" s="32" t="s">
        <v>12</v>
      </c>
      <c r="M92" s="32">
        <v>30</v>
      </c>
      <c r="N92" s="2">
        <v>354.21</v>
      </c>
      <c r="O92" s="2">
        <v>-1998.22</v>
      </c>
      <c r="P92" s="2">
        <f t="shared" si="4"/>
        <v>-1644.01</v>
      </c>
    </row>
    <row r="93" spans="4:16" x14ac:dyDescent="0.25">
      <c r="E93" s="4"/>
      <c r="F93" s="4"/>
      <c r="G93" s="4"/>
      <c r="H93" s="4"/>
      <c r="I93" s="4"/>
      <c r="J93" s="5"/>
      <c r="K93" s="4"/>
      <c r="L93" s="4"/>
      <c r="M93" s="4"/>
    </row>
    <row r="94" spans="4:16" x14ac:dyDescent="0.25">
      <c r="E94" s="4"/>
      <c r="F94" s="4"/>
      <c r="G94" s="4"/>
      <c r="H94" s="4"/>
      <c r="I94" s="4"/>
      <c r="J94" s="5"/>
      <c r="K94" s="4"/>
      <c r="L94" s="4"/>
      <c r="M94" s="4"/>
    </row>
    <row r="95" spans="4:16" x14ac:dyDescent="0.25">
      <c r="E95" s="4"/>
      <c r="F95" s="4"/>
      <c r="G95" s="4"/>
      <c r="H95" s="4"/>
      <c r="I95" s="4"/>
      <c r="J95" s="5"/>
      <c r="K95" s="4"/>
      <c r="L95" s="4"/>
      <c r="M95" s="4"/>
    </row>
  </sheetData>
  <mergeCells count="4">
    <mergeCell ref="H8:I8"/>
    <mergeCell ref="B2:B3"/>
    <mergeCell ref="B4:B5"/>
    <mergeCell ref="B6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SANABRIA SARMIENTO</dc:creator>
  <cp:lastModifiedBy>JOHN JAIRO SANABRIA SARMIENTO</cp:lastModifiedBy>
  <dcterms:created xsi:type="dcterms:W3CDTF">2021-04-15T15:47:27Z</dcterms:created>
  <dcterms:modified xsi:type="dcterms:W3CDTF">2021-04-16T16:11:28Z</dcterms:modified>
</cp:coreProperties>
</file>